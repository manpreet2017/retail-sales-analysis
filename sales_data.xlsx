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atinder Singh\Desktop\"/>
    </mc:Choice>
  </mc:AlternateContent>
  <bookViews>
    <workbookView xWindow="0" yWindow="0" windowWidth="19200" windowHeight="9870" activeTab="2"/>
  </bookViews>
  <sheets>
    <sheet name="Sheet1" sheetId="2" r:id="rId1"/>
    <sheet name="Sheet2" sheetId="3" r:id="rId2"/>
    <sheet name="sales_data" sheetId="1" r:id="rId3"/>
  </sheets>
  <calcPr calcId="152511"/>
  <pivotCaches>
    <pivotCache cacheId="0" r:id="rId4"/>
    <pivotCache cacheId="1" r:id="rId5"/>
  </pivotCaches>
</workbook>
</file>

<file path=xl/calcChain.xml><?xml version="1.0" encoding="utf-8"?>
<calcChain xmlns="http://schemas.openxmlformats.org/spreadsheetml/2006/main">
  <c r="K1502" i="1" l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3" i="1"/>
  <c r="K2" i="1"/>
</calcChain>
</file>

<file path=xl/sharedStrings.xml><?xml version="1.0" encoding="utf-8"?>
<sst xmlns="http://schemas.openxmlformats.org/spreadsheetml/2006/main" count="6042" uniqueCount="336">
  <si>
    <t>order_id</t>
  </si>
  <si>
    <t>order_date</t>
  </si>
  <si>
    <t>product</t>
  </si>
  <si>
    <t>category</t>
  </si>
  <si>
    <t>price</t>
  </si>
  <si>
    <t>quantity</t>
  </si>
  <si>
    <t>discount</t>
  </si>
  <si>
    <t>profit_margin</t>
  </si>
  <si>
    <t>region</t>
  </si>
  <si>
    <t>customer_id</t>
  </si>
  <si>
    <t>Monitor</t>
  </si>
  <si>
    <t>Electronics</t>
  </si>
  <si>
    <t>North</t>
  </si>
  <si>
    <t>CUST0283</t>
  </si>
  <si>
    <t>Mouse</t>
  </si>
  <si>
    <t>Accessories</t>
  </si>
  <si>
    <t>South</t>
  </si>
  <si>
    <t>CUST0101</t>
  </si>
  <si>
    <t>CUST0111</t>
  </si>
  <si>
    <t>CUST0170</t>
  </si>
  <si>
    <t>Keyboard</t>
  </si>
  <si>
    <t>West</t>
  </si>
  <si>
    <t>CUST0227</t>
  </si>
  <si>
    <t>Headphones</t>
  </si>
  <si>
    <t>East</t>
  </si>
  <si>
    <t>CUST0277</t>
  </si>
  <si>
    <t>Tablet</t>
  </si>
  <si>
    <t>CUST0237</t>
  </si>
  <si>
    <t>CUST0259</t>
  </si>
  <si>
    <t>CUST0015</t>
  </si>
  <si>
    <t>CUST0082</t>
  </si>
  <si>
    <t>Laptop</t>
  </si>
  <si>
    <t>CUST0149</t>
  </si>
  <si>
    <t>CUST0014</t>
  </si>
  <si>
    <t>CUST0077</t>
  </si>
  <si>
    <t>CUST0190</t>
  </si>
  <si>
    <t>CUST0108</t>
  </si>
  <si>
    <t>CUST0130</t>
  </si>
  <si>
    <t>CUST0269</t>
  </si>
  <si>
    <t>CUST0010</t>
  </si>
  <si>
    <t>CUST0075</t>
  </si>
  <si>
    <t>CUST0258</t>
  </si>
  <si>
    <t>CUST0057</t>
  </si>
  <si>
    <t>CUST0127</t>
  </si>
  <si>
    <t>CUST0043</t>
  </si>
  <si>
    <t>CUST0228</t>
  </si>
  <si>
    <t>CUST0004</t>
  </si>
  <si>
    <t>CUST0294</t>
  </si>
  <si>
    <t>CUST0181</t>
  </si>
  <si>
    <t>CUST0007</t>
  </si>
  <si>
    <t>CUST0036</t>
  </si>
  <si>
    <t>CUST0175</t>
  </si>
  <si>
    <t>CUST0026</t>
  </si>
  <si>
    <t>CUST0248</t>
  </si>
  <si>
    <t>CUST0184</t>
  </si>
  <si>
    <t>CUST0143</t>
  </si>
  <si>
    <t>CUST0102</t>
  </si>
  <si>
    <t>CUST0106</t>
  </si>
  <si>
    <t>CUST0239</t>
  </si>
  <si>
    <t>CUST0192</t>
  </si>
  <si>
    <t>CUST0118</t>
  </si>
  <si>
    <t>CUST0081</t>
  </si>
  <si>
    <t>CUST0188</t>
  </si>
  <si>
    <t>CUST0243</t>
  </si>
  <si>
    <t>CUST0213</t>
  </si>
  <si>
    <t>CUST0083</t>
  </si>
  <si>
    <t>CUST0210</t>
  </si>
  <si>
    <t>CUST0113</t>
  </si>
  <si>
    <t>CUST0124</t>
  </si>
  <si>
    <t>CUST0241</t>
  </si>
  <si>
    <t>CUST0058</t>
  </si>
  <si>
    <t>CUST0230</t>
  </si>
  <si>
    <t>CUST0021</t>
  </si>
  <si>
    <t>CUST0060</t>
  </si>
  <si>
    <t>CUST0253</t>
  </si>
  <si>
    <t>CUST0198</t>
  </si>
  <si>
    <t>CUST0278</t>
  </si>
  <si>
    <t>CUST0207</t>
  </si>
  <si>
    <t>CUST0020</t>
  </si>
  <si>
    <t>CUST0069</t>
  </si>
  <si>
    <t>CUST0233</t>
  </si>
  <si>
    <t>CUST0038</t>
  </si>
  <si>
    <t>CUST0252</t>
  </si>
  <si>
    <t>CUST0276</t>
  </si>
  <si>
    <t>CUST0115</t>
  </si>
  <si>
    <t>CUST0298</t>
  </si>
  <si>
    <t>CUST0236</t>
  </si>
  <si>
    <t>CUST0194</t>
  </si>
  <si>
    <t>CUST0295</t>
  </si>
  <si>
    <t>CUST0290</t>
  </si>
  <si>
    <t>CUST0012</t>
  </si>
  <si>
    <t>CUST0161</t>
  </si>
  <si>
    <t>CUST0053</t>
  </si>
  <si>
    <t>CUST0065</t>
  </si>
  <si>
    <t>CUST0032</t>
  </si>
  <si>
    <t>CUST0250</t>
  </si>
  <si>
    <t>CUST0209</t>
  </si>
  <si>
    <t>CUST0275</t>
  </si>
  <si>
    <t>CUST0030</t>
  </si>
  <si>
    <t>CUST0234</t>
  </si>
  <si>
    <t>CUST0002</t>
  </si>
  <si>
    <t>CUST0135</t>
  </si>
  <si>
    <t>CUST0147</t>
  </si>
  <si>
    <t>CUST0098</t>
  </si>
  <si>
    <t>CUST0073</t>
  </si>
  <si>
    <t>CUST0129</t>
  </si>
  <si>
    <t>CUST0040</t>
  </si>
  <si>
    <t>CUST0279</t>
  </si>
  <si>
    <t>CUST0232</t>
  </si>
  <si>
    <t>CUST0285</t>
  </si>
  <si>
    <t>CUST0165</t>
  </si>
  <si>
    <t>CUST0022</t>
  </si>
  <si>
    <t>CUST0225</t>
  </si>
  <si>
    <t>CUST0027</t>
  </si>
  <si>
    <t>CUST0281</t>
  </si>
  <si>
    <t>CUST0145</t>
  </si>
  <si>
    <t>CUST0031</t>
  </si>
  <si>
    <t>CUST0037</t>
  </si>
  <si>
    <t>CUST0212</t>
  </si>
  <si>
    <t>CUST0125</t>
  </si>
  <si>
    <t>CUST0292</t>
  </si>
  <si>
    <t>CUST0251</t>
  </si>
  <si>
    <t>CUST0128</t>
  </si>
  <si>
    <t>CUST0157</t>
  </si>
  <si>
    <t>CUST0205</t>
  </si>
  <si>
    <t>CUST0085</t>
  </si>
  <si>
    <t>CUST0088</t>
  </si>
  <si>
    <t>CUST0156</t>
  </si>
  <si>
    <t>CUST0132</t>
  </si>
  <si>
    <t>CUST0104</t>
  </si>
  <si>
    <t>CUST0229</t>
  </si>
  <si>
    <t>CUST0112</t>
  </si>
  <si>
    <t>CUST0202</t>
  </si>
  <si>
    <t>CUST0049</t>
  </si>
  <si>
    <t>CUST0079</t>
  </si>
  <si>
    <t>CUST0046</t>
  </si>
  <si>
    <t>CUST0119</t>
  </si>
  <si>
    <t>CUST0223</t>
  </si>
  <si>
    <t>CUST0214</t>
  </si>
  <si>
    <t>CUST0163</t>
  </si>
  <si>
    <t>CUST0185</t>
  </si>
  <si>
    <t>CUST0189</t>
  </si>
  <si>
    <t>CUST0062</t>
  </si>
  <si>
    <t>CUST0231</t>
  </si>
  <si>
    <t>CUST0064</t>
  </si>
  <si>
    <t>CUST0001</t>
  </si>
  <si>
    <t>CUST0177</t>
  </si>
  <si>
    <t>CUST0266</t>
  </si>
  <si>
    <t>CUST0055</t>
  </si>
  <si>
    <t>CUST0257</t>
  </si>
  <si>
    <t>CUST0208</t>
  </si>
  <si>
    <t>CUST0158</t>
  </si>
  <si>
    <t>CUST0016</t>
  </si>
  <si>
    <t>CUST0261</t>
  </si>
  <si>
    <t>CUST0186</t>
  </si>
  <si>
    <t>CUST0044</t>
  </si>
  <si>
    <t>CUST0264</t>
  </si>
  <si>
    <t>CUST0123</t>
  </si>
  <si>
    <t>CUST0300</t>
  </si>
  <si>
    <t>CUST0134</t>
  </si>
  <si>
    <t>CUST0244</t>
  </si>
  <si>
    <t>CUST0140</t>
  </si>
  <si>
    <t>CUST0042</t>
  </si>
  <si>
    <t>CUST0056</t>
  </si>
  <si>
    <t>CUST0141</t>
  </si>
  <si>
    <t>CUST0087</t>
  </si>
  <si>
    <t>CUST0289</t>
  </si>
  <si>
    <t>CUST0201</t>
  </si>
  <si>
    <t>CUST0176</t>
  </si>
  <si>
    <t>CUST0074</t>
  </si>
  <si>
    <t>CUST0218</t>
  </si>
  <si>
    <t>CUST0070</t>
  </si>
  <si>
    <t>CUST0265</t>
  </si>
  <si>
    <t>CUST0072</t>
  </si>
  <si>
    <t>CUST0051</t>
  </si>
  <si>
    <t>CUST0246</t>
  </si>
  <si>
    <t>CUST0222</t>
  </si>
  <si>
    <t>CUST0066</t>
  </si>
  <si>
    <t>CUST0224</t>
  </si>
  <si>
    <t>CUST0206</t>
  </si>
  <si>
    <t>CUST0094</t>
  </si>
  <si>
    <t>CUST0080</t>
  </si>
  <si>
    <t>CUST0182</t>
  </si>
  <si>
    <t>CUST0009</t>
  </si>
  <si>
    <t>CUST0179</t>
  </si>
  <si>
    <t>CUST0133</t>
  </si>
  <si>
    <t>CUST0109</t>
  </si>
  <si>
    <t>CUST0144</t>
  </si>
  <si>
    <t>CUST0174</t>
  </si>
  <si>
    <t>CUST0137</t>
  </si>
  <si>
    <t>CUST0035</t>
  </si>
  <si>
    <t>CUST0286</t>
  </si>
  <si>
    <t>CUST0245</t>
  </si>
  <si>
    <t>CUST0171</t>
  </si>
  <si>
    <t>CUST0220</t>
  </si>
  <si>
    <t>CUST0110</t>
  </si>
  <si>
    <t>CUST0100</t>
  </si>
  <si>
    <t>CUST0180</t>
  </si>
  <si>
    <t>CUST0166</t>
  </si>
  <si>
    <t>CUST0249</t>
  </si>
  <si>
    <t>CUST0288</t>
  </si>
  <si>
    <t>CUST0054</t>
  </si>
  <si>
    <t>CUST0217</t>
  </si>
  <si>
    <t>CUST0196</t>
  </si>
  <si>
    <t>CUST0011</t>
  </si>
  <si>
    <t>CUST0274</t>
  </si>
  <si>
    <t>CUST0071</t>
  </si>
  <si>
    <t>CUST0256</t>
  </si>
  <si>
    <t>CUST0262</t>
  </si>
  <si>
    <t>CUST0025</t>
  </si>
  <si>
    <t>CUST0162</t>
  </si>
  <si>
    <t>CUST0095</t>
  </si>
  <si>
    <t>CUST0291</t>
  </si>
  <si>
    <t>CUST0122</t>
  </si>
  <si>
    <t>CUST0154</t>
  </si>
  <si>
    <t>CUST0146</t>
  </si>
  <si>
    <t>CUST0150</t>
  </si>
  <si>
    <t>CUST0197</t>
  </si>
  <si>
    <t>CUST0299</t>
  </si>
  <si>
    <t>CUST0204</t>
  </si>
  <si>
    <t>CUST0068</t>
  </si>
  <si>
    <t>CUST0045</t>
  </si>
  <si>
    <t>CUST0006</t>
  </si>
  <si>
    <t>CUST0187</t>
  </si>
  <si>
    <t>CUST0092</t>
  </si>
  <si>
    <t>CUST0148</t>
  </si>
  <si>
    <t>CUST0120</t>
  </si>
  <si>
    <t>CUST0061</t>
  </si>
  <si>
    <t>CUST0059</t>
  </si>
  <si>
    <t>CUST0255</t>
  </si>
  <si>
    <t>CUST0121</t>
  </si>
  <si>
    <t>CUST0155</t>
  </si>
  <si>
    <t>CUST0091</t>
  </si>
  <si>
    <t>CUST0263</t>
  </si>
  <si>
    <t>CUST0018</t>
  </si>
  <si>
    <t>CUST0017</t>
  </si>
  <si>
    <t>CUST0090</t>
  </si>
  <si>
    <t>CUST0116</t>
  </si>
  <si>
    <t>CUST0029</t>
  </si>
  <si>
    <t>CUST0178</t>
  </si>
  <si>
    <t>CUST0167</t>
  </si>
  <si>
    <t>CUST0131</t>
  </si>
  <si>
    <t>CUST0172</t>
  </si>
  <si>
    <t>CUST0284</t>
  </si>
  <si>
    <t>CUST0282</t>
  </si>
  <si>
    <t>CUST0028</t>
  </si>
  <si>
    <t>CUST0195</t>
  </si>
  <si>
    <t>CUST0260</t>
  </si>
  <si>
    <t>CUST0050</t>
  </si>
  <si>
    <t>CUST0242</t>
  </si>
  <si>
    <t>CUST0173</t>
  </si>
  <si>
    <t>CUST0142</t>
  </si>
  <si>
    <t>CUST0107</t>
  </si>
  <si>
    <t>CUST0193</t>
  </si>
  <si>
    <t>CUST0287</t>
  </si>
  <si>
    <t>CUST0254</t>
  </si>
  <si>
    <t>CUST0159</t>
  </si>
  <si>
    <t>CUST0039</t>
  </si>
  <si>
    <t>CUST0136</t>
  </si>
  <si>
    <t>CUST0199</t>
  </si>
  <si>
    <t>CUST0138</t>
  </si>
  <si>
    <t>CUST0272</t>
  </si>
  <si>
    <t>CUST0003</t>
  </si>
  <si>
    <t>CUST0005</t>
  </si>
  <si>
    <t>CUST0024</t>
  </si>
  <si>
    <t>CUST0152</t>
  </si>
  <si>
    <t>CUST0078</t>
  </si>
  <si>
    <t>CUST0008</t>
  </si>
  <si>
    <t>CUST0067</t>
  </si>
  <si>
    <t>CUST0114</t>
  </si>
  <si>
    <t>CUST0238</t>
  </si>
  <si>
    <t>CUST0084</t>
  </si>
  <si>
    <t>CUST0089</t>
  </si>
  <si>
    <t>CUST0099</t>
  </si>
  <si>
    <t>CUST0023</t>
  </si>
  <si>
    <t>CUST0063</t>
  </si>
  <si>
    <t>CUST0033</t>
  </si>
  <si>
    <t>CUST0296</t>
  </si>
  <si>
    <t>CUST0096</t>
  </si>
  <si>
    <t>CUST0164</t>
  </si>
  <si>
    <t>CUST0293</t>
  </si>
  <si>
    <t>CUST0297</t>
  </si>
  <si>
    <t>CUST0271</t>
  </si>
  <si>
    <t>CUST0211</t>
  </si>
  <si>
    <t>CUST0216</t>
  </si>
  <si>
    <t>CUST0280</t>
  </si>
  <si>
    <t>CUST0203</t>
  </si>
  <si>
    <t>CUST0267</t>
  </si>
  <si>
    <t>CUST0168</t>
  </si>
  <si>
    <t>CUST0270</t>
  </si>
  <si>
    <t>CUST0200</t>
  </si>
  <si>
    <t>CUST0219</t>
  </si>
  <si>
    <t>CUST0086</t>
  </si>
  <si>
    <t>CUST0052</t>
  </si>
  <si>
    <t>CUST0047</t>
  </si>
  <si>
    <t>CUST0117</t>
  </si>
  <si>
    <t>CUST0240</t>
  </si>
  <si>
    <t>CUST0235</t>
  </si>
  <si>
    <t>CUST0183</t>
  </si>
  <si>
    <t>CUST0093</t>
  </si>
  <si>
    <t>CUST0076</t>
  </si>
  <si>
    <t>CUST0151</t>
  </si>
  <si>
    <t>CUST0139</t>
  </si>
  <si>
    <t>CUST0041</t>
  </si>
  <si>
    <t>CUST0215</t>
  </si>
  <si>
    <t>CUST0169</t>
  </si>
  <si>
    <t>CUST0103</t>
  </si>
  <si>
    <t>CUST0191</t>
  </si>
  <si>
    <t>CUST0273</t>
  </si>
  <si>
    <t>CUST0247</t>
  </si>
  <si>
    <t>CUST0126</t>
  </si>
  <si>
    <t>CUST0097</t>
  </si>
  <si>
    <t>CUST0034</t>
  </si>
  <si>
    <t>CUST0105</t>
  </si>
  <si>
    <t>CUST0019</t>
  </si>
  <si>
    <t>CUST0268</t>
  </si>
  <si>
    <t>CUST0226</t>
  </si>
  <si>
    <t>CUST0013</t>
  </si>
  <si>
    <t>CUST0048</t>
  </si>
  <si>
    <t>CUST0221</t>
  </si>
  <si>
    <t>revenue</t>
  </si>
  <si>
    <t>Row Labels</t>
  </si>
  <si>
    <t>Grand Total</t>
  </si>
  <si>
    <t>Sum of revenue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</si>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</sst>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4" fontId="0" fillId="0" borderId="0" xfId="0" applyNumberFormat="1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Jatinder Singh" refreshedDate="46087.176601736108" createdVersion="5" refreshedVersion="5" minRefreshableVersion="3" recordCount="1499">
  <cacheSource type="worksheet">
    <worksheetSource ref="A1:K1500" sheet="sales_data"/>
  </cacheSource>
  <cacheFields count="11">
    <cacheField name="order_id" numFmtId="0">
      <sharedItems containsSemiMixedTypes="0" containsString="0" containsNumber="1" containsInteger="1" minValue="1" maxValue="1499"/>
    </cacheField>
    <cacheField name="order_date" numFmtId="14">
      <sharedItems containsSemiMixedTypes="0" containsNonDate="0" containsDate="1" containsString="0" minDate="2024-01-01T00:00:00" maxDate="2024-12-31T00:00:00"/>
    </cacheField>
    <cacheField name="product" numFmtId="0">
      <sharedItems/>
    </cacheField>
    <cacheField name="category" numFmtId="0">
      <sharedItems/>
    </cacheField>
    <cacheField name="price" numFmtId="0">
      <sharedItems containsSemiMixedTypes="0" containsString="0" containsNumber="1" minValue="25.02" maxValue="1499.58"/>
    </cacheField>
    <cacheField name="quantity" numFmtId="0">
      <sharedItems containsSemiMixedTypes="0" containsString="0" containsNumber="1" containsInteger="1" minValue="1" maxValue="5"/>
    </cacheField>
    <cacheField name="discount" numFmtId="0">
      <sharedItems containsSemiMixedTypes="0" containsString="0" containsNumber="1" minValue="0" maxValue="0.3"/>
    </cacheField>
    <cacheField name="profit_margin" numFmtId="0">
      <sharedItems containsSemiMixedTypes="0" containsString="0" containsNumber="1" minValue="0.1" maxValue="0.4"/>
    </cacheField>
    <cacheField name="region" numFmtId="0">
      <sharedItems count="4">
        <s v="North"/>
        <s v="South"/>
        <s v="West"/>
        <s v="East"/>
      </sharedItems>
    </cacheField>
    <cacheField name="customer_id" numFmtId="0">
      <sharedItems/>
    </cacheField>
    <cacheField name="revenue" numFmtId="0">
      <sharedItems containsSemiMixedTypes="0" containsString="0" containsNumber="1" minValue="25.02" maxValue="7497.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Jatinder Singh" refreshedDate="46087.185921875003" createdVersion="5" refreshedVersion="5" minRefreshableVersion="3" recordCount="1500">
  <cacheSource type="worksheet">
    <worksheetSource ref="A1:K1501" sheet="sales_data"/>
  </cacheSource>
  <cacheFields count="11">
    <cacheField name="order_id" numFmtId="0">
      <sharedItems containsSemiMixedTypes="0" containsString="0" containsNumber="1" containsInteger="1" minValue="1" maxValue="1500"/>
    </cacheField>
    <cacheField name="order_date" numFmtId="14">
      <sharedItems containsSemiMixedTypes="0" containsNonDate="0" containsDate="1" containsString="0" minDate="2024-01-01T00:00:00" maxDate="2024-12-31T00:00:00" count="356">
        <d v="2024-01-21T00:00:00"/>
        <d v="2024-04-09T00:00:00"/>
        <d v="2024-10-20T00:00:00"/>
        <d v="2024-01-22T00:00:00"/>
        <d v="2024-06-18T00:00:00"/>
        <d v="2024-06-23T00:00:00"/>
        <d v="2024-05-10T00:00:00"/>
        <d v="2024-03-29T00:00:00"/>
        <d v="2024-12-05T00:00:00"/>
        <d v="2024-02-04T00:00:00"/>
        <d v="2024-02-23T00:00:00"/>
        <d v="2024-06-10T00:00:00"/>
        <d v="2024-08-02T00:00:00"/>
        <d v="2024-02-22T00:00:00"/>
        <d v="2024-02-10T00:00:00"/>
        <d v="2024-12-09T00:00:00"/>
        <d v="2024-10-15T00:00:00"/>
        <d v="2024-05-14T00:00:00"/>
        <d v="2024-03-02T00:00:00"/>
        <d v="2024-01-05T00:00:00"/>
        <d v="2024-02-11T00:00:00"/>
        <d v="2024-02-21T00:00:00"/>
        <d v="2024-08-24T00:00:00"/>
        <d v="2024-07-05T00:00:00"/>
        <d v="2024-05-13T00:00:00"/>
        <d v="2024-11-26T00:00:00"/>
        <d v="2024-10-09T00:00:00"/>
        <d v="2024-07-16T00:00:00"/>
        <d v="2024-08-21T00:00:00"/>
        <d v="2024-08-20T00:00:00"/>
        <d v="2024-10-21T00:00:00"/>
        <d v="2024-08-11T00:00:00"/>
        <d v="2024-08-05T00:00:00"/>
        <d v="2024-09-11T00:00:00"/>
        <d v="2024-08-27T00:00:00"/>
        <d v="2024-12-14T00:00:00"/>
        <d v="2024-05-26T00:00:00"/>
        <d v="2024-02-08T00:00:00"/>
        <d v="2024-05-30T00:00:00"/>
        <d v="2024-12-11T00:00:00"/>
        <d v="2024-10-30T00:00:00"/>
        <d v="2024-01-09T00:00:00"/>
        <d v="2024-05-31T00:00:00"/>
        <d v="2024-04-13T00:00:00"/>
        <d v="2024-06-01T00:00:00"/>
        <d v="2024-06-17T00:00:00"/>
        <d v="2024-01-27T00:00:00"/>
        <d v="2024-11-12T00:00:00"/>
        <d v="2024-01-17T00:00:00"/>
        <d v="2024-04-08T00:00:00"/>
        <d v="2024-06-09T00:00:00"/>
        <d v="2024-02-27T00:00:00"/>
        <d v="2024-05-06T00:00:00"/>
        <d v="2024-10-25T00:00:00"/>
        <d v="2024-11-01T00:00:00"/>
        <d v="2024-02-05T00:00:00"/>
        <d v="2024-05-21T00:00:00"/>
        <d v="2024-12-07T00:00:00"/>
        <d v="2024-11-09T00:00:00"/>
        <d v="2024-04-17T00:00:00"/>
        <d v="2024-12-15T00:00:00"/>
        <d v="2024-04-15T00:00:00"/>
        <d v="2024-08-26T00:00:00"/>
        <d v="2024-09-28T00:00:00"/>
        <d v="2024-03-16T00:00:00"/>
        <d v="2024-08-07T00:00:00"/>
        <d v="2024-07-22T00:00:00"/>
        <d v="2024-11-20T00:00:00"/>
        <d v="2024-04-05T00:00:00"/>
        <d v="2024-12-01T00:00:00"/>
        <d v="2024-06-27T00:00:00"/>
        <d v="2024-11-25T00:00:00"/>
        <d v="2024-09-09T00:00:00"/>
        <d v="2024-04-02T00:00:00"/>
        <d v="2024-07-14T00:00:00"/>
        <d v="2024-08-04T00:00:00"/>
        <d v="2024-07-10T00:00:00"/>
        <d v="2024-10-05T00:00:00"/>
        <d v="2024-03-24T00:00:00"/>
        <d v="2024-07-04T00:00:00"/>
        <d v="2024-08-22T00:00:00"/>
        <d v="2024-05-15T00:00:00"/>
        <d v="2024-11-22T00:00:00"/>
        <d v="2024-10-01T00:00:00"/>
        <d v="2024-05-05T00:00:00"/>
        <d v="2024-05-27T00:00:00"/>
        <d v="2024-12-13T00:00:00"/>
        <d v="2024-04-26T00:00:00"/>
        <d v="2024-10-29T00:00:00"/>
        <d v="2024-08-14T00:00:00"/>
        <d v="2024-01-14T00:00:00"/>
        <d v="2024-05-23T00:00:00"/>
        <d v="2024-12-23T00:00:00"/>
        <d v="2024-06-12T00:00:00"/>
        <d v="2024-12-22T00:00:00"/>
        <d v="2024-07-30T00:00:00"/>
        <d v="2024-03-22T00:00:00"/>
        <d v="2024-11-07T00:00:00"/>
        <d v="2024-12-06T00:00:00"/>
        <d v="2024-04-07T00:00:00"/>
        <d v="2024-07-15T00:00:00"/>
        <d v="2024-06-13T00:00:00"/>
        <d v="2024-01-01T00:00:00"/>
        <d v="2024-10-14T00:00:00"/>
        <d v="2024-09-15T00:00:00"/>
        <d v="2024-08-09T00:00:00"/>
        <d v="2024-07-25T00:00:00"/>
        <d v="2024-12-12T00:00:00"/>
        <d v="2024-11-30T00:00:00"/>
        <d v="2024-05-17T00:00:00"/>
        <d v="2024-03-09T00:00:00"/>
        <d v="2024-02-12T00:00:00"/>
        <d v="2024-07-13T00:00:00"/>
        <d v="2024-05-01T00:00:00"/>
        <d v="2024-02-15T00:00:00"/>
        <d v="2024-09-05T00:00:00"/>
        <d v="2024-01-26T00:00:00"/>
        <d v="2024-12-30T00:00:00"/>
        <d v="2024-04-20T00:00:00"/>
        <d v="2024-01-13T00:00:00"/>
        <d v="2024-05-25T00:00:00"/>
        <d v="2024-08-23T00:00:00"/>
        <d v="2024-11-15T00:00:00"/>
        <d v="2024-01-04T00:00:00"/>
        <d v="2024-02-09T00:00:00"/>
        <d v="2024-10-26T00:00:00"/>
        <d v="2024-08-12T00:00:00"/>
        <d v="2024-11-14T00:00:00"/>
        <d v="2024-02-07T00:00:00"/>
        <d v="2024-11-29T00:00:00"/>
        <d v="2024-12-26T00:00:00"/>
        <d v="2024-03-03T00:00:00"/>
        <d v="2024-11-04T00:00:00"/>
        <d v="2024-03-07T00:00:00"/>
        <d v="2024-06-05T00:00:00"/>
        <d v="2024-04-06T00:00:00"/>
        <d v="2024-03-26T00:00:00"/>
        <d v="2024-01-15T00:00:00"/>
        <d v="2024-06-21T00:00:00"/>
        <d v="2024-05-20T00:00:00"/>
        <d v="2024-11-11T00:00:00"/>
        <d v="2024-10-19T00:00:00"/>
        <d v="2024-02-20T00:00:00"/>
        <d v="2024-10-28T00:00:00"/>
        <d v="2024-11-08T00:00:00"/>
        <d v="2024-10-17T00:00:00"/>
        <d v="2024-07-28T00:00:00"/>
        <d v="2024-12-29T00:00:00"/>
        <d v="2024-06-04T00:00:00"/>
        <d v="2024-06-25T00:00:00"/>
        <d v="2024-07-29T00:00:00"/>
        <d v="2024-07-12T00:00:00"/>
        <d v="2024-09-22T00:00:00"/>
        <d v="2024-11-18T00:00:00"/>
        <d v="2024-09-20T00:00:00"/>
        <d v="2024-06-30T00:00:00"/>
        <d v="2024-09-12T00:00:00"/>
        <d v="2024-10-04T00:00:00"/>
        <d v="2024-10-13T00:00:00"/>
        <d v="2024-03-04T00:00:00"/>
        <d v="2024-10-08T00:00:00"/>
        <d v="2024-04-22T00:00:00"/>
        <d v="2024-07-19T00:00:00"/>
        <d v="2024-06-20T00:00:00"/>
        <d v="2024-10-31T00:00:00"/>
        <d v="2024-01-12T00:00:00"/>
        <d v="2024-02-28T00:00:00"/>
        <d v="2024-01-16T00:00:00"/>
        <d v="2024-09-26T00:00:00"/>
        <d v="2024-11-10T00:00:00"/>
        <d v="2024-04-12T00:00:00"/>
        <d v="2024-11-06T00:00:00"/>
        <d v="2024-01-29T00:00:00"/>
        <d v="2024-12-24T00:00:00"/>
        <d v="2024-03-01T00:00:00"/>
        <d v="2024-09-16T00:00:00"/>
        <d v="2024-08-30T00:00:00"/>
        <d v="2024-08-28T00:00:00"/>
        <d v="2024-06-26T00:00:00"/>
        <d v="2024-09-25T00:00:00"/>
        <d v="2024-01-25T00:00:00"/>
        <d v="2024-02-06T00:00:00"/>
        <d v="2024-04-23T00:00:00"/>
        <d v="2024-08-03T00:00:00"/>
        <d v="2024-07-09T00:00:00"/>
        <d v="2024-06-06T00:00:00"/>
        <d v="2024-06-11T00:00:00"/>
        <d v="2024-04-29T00:00:00"/>
        <d v="2024-08-13T00:00:00"/>
        <d v="2024-09-27T00:00:00"/>
        <d v="2024-10-07T00:00:00"/>
        <d v="2024-03-12T00:00:00"/>
        <d v="2024-03-19T00:00:00"/>
        <d v="2024-06-29T00:00:00"/>
        <d v="2024-10-03T00:00:00"/>
        <d v="2024-02-01T00:00:00"/>
        <d v="2024-09-23T00:00:00"/>
        <d v="2024-06-08T00:00:00"/>
        <d v="2024-08-29T00:00:00"/>
        <d v="2024-03-17T00:00:00"/>
        <d v="2024-12-25T00:00:00"/>
        <d v="2024-03-13T00:00:00"/>
        <d v="2024-01-07T00:00:00"/>
        <d v="2024-01-03T00:00:00"/>
        <d v="2024-11-27T00:00:00"/>
        <d v="2024-02-19T00:00:00"/>
        <d v="2024-08-15T00:00:00"/>
        <d v="2024-05-24T00:00:00"/>
        <d v="2024-09-17T00:00:00"/>
        <d v="2024-06-19T00:00:00"/>
        <d v="2024-04-30T00:00:00"/>
        <d v="2024-09-07T00:00:00"/>
        <d v="2024-09-01T00:00:00"/>
        <d v="2024-10-02T00:00:00"/>
        <d v="2024-01-08T00:00:00"/>
        <d v="2024-11-05T00:00:00"/>
        <d v="2024-07-17T00:00:00"/>
        <d v="2024-12-20T00:00:00"/>
        <d v="2024-03-25T00:00:00"/>
        <d v="2024-06-02T00:00:00"/>
        <d v="2024-09-19T00:00:00"/>
        <d v="2024-05-22T00:00:00"/>
        <d v="2024-09-10T00:00:00"/>
        <d v="2024-07-06T00:00:00"/>
        <d v="2024-06-15T00:00:00"/>
        <d v="2024-07-27T00:00:00"/>
        <d v="2024-07-26T00:00:00"/>
        <d v="2024-04-27T00:00:00"/>
        <d v="2024-06-14T00:00:00"/>
        <d v="2024-05-28T00:00:00"/>
        <d v="2024-08-08T00:00:00"/>
        <d v="2024-04-25T00:00:00"/>
        <d v="2024-03-05T00:00:00"/>
        <d v="2024-12-03T00:00:00"/>
        <d v="2024-10-10T00:00:00"/>
        <d v="2024-03-27T00:00:00"/>
        <d v="2024-04-18T00:00:00"/>
        <d v="2024-01-28T00:00:00"/>
        <d v="2024-12-17T00:00:00"/>
        <d v="2024-02-18T00:00:00"/>
        <d v="2024-04-28T00:00:00"/>
        <d v="2024-07-01T00:00:00"/>
        <d v="2024-06-22T00:00:00"/>
        <d v="2024-05-29T00:00:00"/>
        <d v="2024-03-28T00:00:00"/>
        <d v="2024-05-11T00:00:00"/>
        <d v="2024-01-30T00:00:00"/>
        <d v="2024-02-16T00:00:00"/>
        <d v="2024-04-16T00:00:00"/>
        <d v="2024-05-08T00:00:00"/>
        <d v="2024-01-02T00:00:00"/>
        <d v="2024-05-04T00:00:00"/>
        <d v="2024-08-19T00:00:00"/>
        <d v="2024-06-16T00:00:00"/>
        <d v="2024-09-04T00:00:00"/>
        <d v="2024-09-18T00:00:00"/>
        <d v="2024-10-23T00:00:00"/>
        <d v="2024-08-25T00:00:00"/>
        <d v="2024-04-10T00:00:00"/>
        <d v="2024-09-02T00:00:00"/>
        <d v="2024-09-03T00:00:00"/>
        <d v="2024-07-07T00:00:00"/>
        <d v="2024-10-12T00:00:00"/>
        <d v="2024-03-15T00:00:00"/>
        <d v="2024-03-06T00:00:00"/>
        <d v="2024-08-06T00:00:00"/>
        <d v="2024-03-23T00:00:00"/>
        <d v="2024-07-21T00:00:00"/>
        <d v="2024-04-19T00:00:00"/>
        <d v="2024-09-24T00:00:00"/>
        <d v="2024-10-27T00:00:00"/>
        <d v="2024-04-14T00:00:00"/>
        <d v="2024-01-23T00:00:00"/>
        <d v="2024-02-25T00:00:00"/>
        <d v="2024-06-24T00:00:00"/>
        <d v="2024-12-28T00:00:00"/>
        <d v="2024-10-06T00:00:00"/>
        <d v="2024-09-29T00:00:00"/>
        <d v="2024-09-06T00:00:00"/>
        <d v="2024-12-19T00:00:00"/>
        <d v="2024-11-24T00:00:00"/>
        <d v="2024-05-07T00:00:00"/>
        <d v="2024-10-16T00:00:00"/>
        <d v="2024-11-17T00:00:00"/>
        <d v="2024-02-13T00:00:00"/>
        <d v="2024-12-27T00:00:00"/>
        <d v="2024-11-16T00:00:00"/>
        <d v="2024-02-26T00:00:00"/>
        <d v="2024-08-10T00:00:00"/>
        <d v="2024-02-17T00:00:00"/>
        <d v="2024-05-18T00:00:00"/>
        <d v="2024-04-03T00:00:00"/>
        <d v="2024-02-03T00:00:00"/>
        <d v="2024-07-24T00:00:00"/>
        <d v="2024-03-31T00:00:00"/>
        <d v="2024-07-11T00:00:00"/>
        <d v="2024-03-08T00:00:00"/>
        <d v="2024-07-08T00:00:00"/>
        <d v="2024-03-21T00:00:00"/>
        <d v="2024-03-18T00:00:00"/>
        <d v="2024-04-04T00:00:00"/>
        <d v="2024-11-23T00:00:00"/>
        <d v="2024-11-13T00:00:00"/>
        <d v="2024-01-06T00:00:00"/>
        <d v="2024-01-19T00:00:00"/>
        <d v="2024-11-28T00:00:00"/>
        <d v="2024-12-21T00:00:00"/>
        <d v="2024-08-01T00:00:00"/>
        <d v="2024-04-21T00:00:00"/>
        <d v="2024-08-18T00:00:00"/>
        <d v="2024-10-22T00:00:00"/>
        <d v="2024-12-08T00:00:00"/>
        <d v="2024-07-02T00:00:00"/>
        <d v="2024-07-18T00:00:00"/>
        <d v="2024-07-31T00:00:00"/>
        <d v="2024-08-16T00:00:00"/>
        <d v="2024-06-28T00:00:00"/>
        <d v="2024-05-16T00:00:00"/>
        <d v="2024-03-30T00:00:00"/>
        <d v="2024-01-20T00:00:00"/>
        <d v="2024-12-02T00:00:00"/>
        <d v="2024-05-09T00:00:00"/>
        <d v="2024-12-04T00:00:00"/>
        <d v="2024-10-24T00:00:00"/>
        <d v="2024-04-24T00:00:00"/>
        <d v="2024-12-18T00:00:00"/>
        <d v="2024-10-18T00:00:00"/>
        <d v="2024-02-24T00:00:00"/>
        <d v="2024-09-21T00:00:00"/>
        <d v="2024-04-01T00:00:00"/>
        <d v="2024-02-14T00:00:00"/>
        <d v="2024-01-10T00:00:00"/>
        <d v="2024-11-03T00:00:00"/>
        <d v="2024-09-14T00:00:00"/>
        <d v="2024-01-24T00:00:00"/>
        <d v="2024-07-03T00:00:00"/>
        <d v="2024-01-18T00:00:00"/>
        <d v="2024-03-14T00:00:00"/>
        <d v="2024-03-11T00:00:00"/>
        <d v="2024-09-13T00:00:00"/>
        <d v="2024-10-11T00:00:00"/>
        <d v="2024-06-07T00:00:00"/>
        <d v="2024-08-31T00:00:00"/>
        <d v="2024-06-03T00:00:00"/>
        <d v="2024-01-11T00:00:00"/>
        <d v="2024-03-10T00:00:00"/>
        <d v="2024-05-19T00:00:00"/>
        <d v="2024-12-16T00:00:00"/>
        <d v="2024-01-31T00:00:00"/>
        <d v="2024-03-20T00:00:00"/>
        <d v="2024-05-02T00:00:00"/>
        <d v="2024-09-30T00:00:00"/>
        <d v="2024-05-12T00:00:00"/>
        <d v="2024-05-03T00:00:00"/>
        <d v="2024-11-21T00:00:00"/>
        <d v="2024-08-17T00:00:00"/>
      </sharedItems>
      <fieldGroup base="1">
        <rangePr groupBy="months" startDate="2024-01-01T00:00:00" endDate="2024-12-31T00:00:00"/>
        <groupItems count="14">
          <s v="&lt;1/1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31/2024"/>
        </groupItems>
      </fieldGroup>
    </cacheField>
    <cacheField name="product" numFmtId="0">
      <sharedItems count="6">
        <s v="Monitor"/>
        <s v="Mouse"/>
        <s v="Keyboard"/>
        <s v="Headphones"/>
        <s v="Tablet"/>
        <s v="Laptop"/>
      </sharedItems>
    </cacheField>
    <cacheField name="category" numFmtId="0">
      <sharedItems/>
    </cacheField>
    <cacheField name="price" numFmtId="0">
      <sharedItems containsSemiMixedTypes="0" containsString="0" containsNumber="1" minValue="25.02" maxValue="1499.58"/>
    </cacheField>
    <cacheField name="quantity" numFmtId="0">
      <sharedItems containsSemiMixedTypes="0" containsString="0" containsNumber="1" containsInteger="1" minValue="1" maxValue="5"/>
    </cacheField>
    <cacheField name="discount" numFmtId="0">
      <sharedItems containsSemiMixedTypes="0" containsString="0" containsNumber="1" minValue="0" maxValue="0.3"/>
    </cacheField>
    <cacheField name="profit_margin" numFmtId="0">
      <sharedItems containsSemiMixedTypes="0" containsString="0" containsNumber="1" minValue="0.1" maxValue="0.4"/>
    </cacheField>
    <cacheField name="region" numFmtId="0">
      <sharedItems/>
    </cacheField>
    <cacheField name="customer_id" numFmtId="0">
      <sharedItems/>
    </cacheField>
    <cacheField name="revenue" numFmtId="0">
      <sharedItems containsSemiMixedTypes="0" containsString="0" containsNumber="1" minValue="25.02" maxValue="7497.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499">
  <r>
    <n v="1"/>
    <d v="2024-01-21T00:00:00"/>
    <s v="Monitor"/>
    <s v="Electronics"/>
    <n v="577.45000000000005"/>
    <n v="5"/>
    <n v="0.06"/>
    <n v="0.33"/>
    <x v="0"/>
    <s v="CUST0283"/>
    <n v="2887.25"/>
  </r>
  <r>
    <n v="2"/>
    <d v="2024-04-09T00:00:00"/>
    <s v="Mouse"/>
    <s v="Accessories"/>
    <n v="255.13"/>
    <n v="3"/>
    <n v="0.03"/>
    <n v="0.24"/>
    <x v="1"/>
    <s v="CUST0101"/>
    <n v="765.39"/>
  </r>
  <r>
    <n v="3"/>
    <d v="2024-10-20T00:00:00"/>
    <s v="Mouse"/>
    <s v="Accessories"/>
    <n v="235.73"/>
    <n v="3"/>
    <n v="0.01"/>
    <n v="0.39"/>
    <x v="1"/>
    <s v="CUST0111"/>
    <n v="707.18999999999994"/>
  </r>
  <r>
    <n v="4"/>
    <d v="2024-01-22T00:00:00"/>
    <s v="Mouse"/>
    <s v="Accessories"/>
    <n v="26.15"/>
    <n v="4"/>
    <n v="0.06"/>
    <n v="0.19"/>
    <x v="0"/>
    <s v="CUST0170"/>
    <n v="104.6"/>
  </r>
  <r>
    <n v="5"/>
    <d v="2024-06-18T00:00:00"/>
    <s v="Keyboard"/>
    <s v="Accessories"/>
    <n v="35.42"/>
    <n v="1"/>
    <n v="0.09"/>
    <n v="0.28000000000000003"/>
    <x v="2"/>
    <s v="CUST0227"/>
    <n v="35.42"/>
  </r>
  <r>
    <n v="6"/>
    <d v="2024-06-23T00:00:00"/>
    <s v="Headphones"/>
    <s v="Accessories"/>
    <n v="93.83"/>
    <n v="4"/>
    <n v="0.11"/>
    <n v="0.24"/>
    <x v="3"/>
    <s v="CUST0277"/>
    <n v="375.32"/>
  </r>
  <r>
    <n v="7"/>
    <d v="2024-05-10T00:00:00"/>
    <s v="Tablet"/>
    <s v="Electronics"/>
    <n v="937.12"/>
    <n v="4"/>
    <n v="0.15"/>
    <n v="0.28000000000000003"/>
    <x v="3"/>
    <s v="CUST0237"/>
    <n v="3748.48"/>
  </r>
  <r>
    <n v="8"/>
    <d v="2024-03-29T00:00:00"/>
    <s v="Monitor"/>
    <s v="Electronics"/>
    <n v="1293.4100000000001"/>
    <n v="5"/>
    <n v="0.14000000000000001"/>
    <n v="0.1"/>
    <x v="3"/>
    <s v="CUST0259"/>
    <n v="6467.05"/>
  </r>
  <r>
    <n v="9"/>
    <d v="2024-12-05T00:00:00"/>
    <s v="Monitor"/>
    <s v="Electronics"/>
    <n v="1449.31"/>
    <n v="2"/>
    <n v="0.12"/>
    <n v="0.1"/>
    <x v="1"/>
    <s v="CUST0015"/>
    <n v="2898.62"/>
  </r>
  <r>
    <n v="10"/>
    <d v="2024-02-04T00:00:00"/>
    <s v="Keyboard"/>
    <s v="Accessories"/>
    <n v="380.51"/>
    <n v="4"/>
    <n v="0.04"/>
    <n v="0.25"/>
    <x v="3"/>
    <s v="CUST0082"/>
    <n v="1522.04"/>
  </r>
  <r>
    <n v="11"/>
    <d v="2024-02-23T00:00:00"/>
    <s v="Laptop"/>
    <s v="Electronics"/>
    <n v="1366.25"/>
    <n v="4"/>
    <n v="0.05"/>
    <n v="0.33"/>
    <x v="1"/>
    <s v="CUST0082"/>
    <n v="5465"/>
  </r>
  <r>
    <n v="12"/>
    <d v="2024-06-10T00:00:00"/>
    <s v="Tablet"/>
    <s v="Electronics"/>
    <n v="831.4"/>
    <n v="5"/>
    <n v="0.28999999999999998"/>
    <n v="0.33"/>
    <x v="2"/>
    <s v="CUST0149"/>
    <n v="4157"/>
  </r>
  <r>
    <n v="13"/>
    <d v="2024-08-02T00:00:00"/>
    <s v="Monitor"/>
    <s v="Electronics"/>
    <n v="607.85"/>
    <n v="4"/>
    <n v="0.18"/>
    <n v="0.38"/>
    <x v="1"/>
    <s v="CUST0014"/>
    <n v="2431.4"/>
  </r>
  <r>
    <n v="14"/>
    <d v="2024-02-22T00:00:00"/>
    <s v="Mouse"/>
    <s v="Accessories"/>
    <n v="793.23"/>
    <n v="5"/>
    <n v="0.12"/>
    <n v="0.18"/>
    <x v="0"/>
    <s v="CUST0077"/>
    <n v="3966.15"/>
  </r>
  <r>
    <n v="15"/>
    <d v="2024-02-10T00:00:00"/>
    <s v="Laptop"/>
    <s v="Electronics"/>
    <n v="890.46"/>
    <n v="1"/>
    <n v="0.08"/>
    <n v="0.26"/>
    <x v="2"/>
    <s v="CUST0190"/>
    <n v="890.46"/>
  </r>
  <r>
    <n v="16"/>
    <d v="2024-12-09T00:00:00"/>
    <s v="Keyboard"/>
    <s v="Accessories"/>
    <n v="462"/>
    <n v="5"/>
    <n v="0.02"/>
    <n v="0.4"/>
    <x v="2"/>
    <s v="CUST0108"/>
    <n v="2310"/>
  </r>
  <r>
    <n v="17"/>
    <d v="2024-10-15T00:00:00"/>
    <s v="Monitor"/>
    <s v="Electronics"/>
    <n v="607.45000000000005"/>
    <n v="3"/>
    <n v="0.06"/>
    <n v="0.31"/>
    <x v="3"/>
    <s v="CUST0130"/>
    <n v="1822.3500000000001"/>
  </r>
  <r>
    <n v="18"/>
    <d v="2024-05-14T00:00:00"/>
    <s v="Tablet"/>
    <s v="Electronics"/>
    <n v="918.79"/>
    <n v="2"/>
    <n v="0.11"/>
    <n v="0.13"/>
    <x v="2"/>
    <s v="CUST0190"/>
    <n v="1837.58"/>
  </r>
  <r>
    <n v="19"/>
    <d v="2024-03-02T00:00:00"/>
    <s v="Headphones"/>
    <s v="Accessories"/>
    <n v="1278.81"/>
    <n v="4"/>
    <n v="0.1"/>
    <n v="0.12"/>
    <x v="3"/>
    <s v="CUST0269"/>
    <n v="5115.24"/>
  </r>
  <r>
    <n v="20"/>
    <d v="2024-02-04T00:00:00"/>
    <s v="Monitor"/>
    <s v="Electronics"/>
    <n v="504.65"/>
    <n v="3"/>
    <n v="0.18"/>
    <n v="0.18"/>
    <x v="1"/>
    <s v="CUST0010"/>
    <n v="1513.9499999999998"/>
  </r>
  <r>
    <n v="21"/>
    <d v="2024-01-05T00:00:00"/>
    <s v="Mouse"/>
    <s v="Accessories"/>
    <n v="721.52"/>
    <n v="5"/>
    <n v="0.28999999999999998"/>
    <n v="0.35"/>
    <x v="2"/>
    <s v="CUST0075"/>
    <n v="3607.6"/>
  </r>
  <r>
    <n v="22"/>
    <d v="2024-02-11T00:00:00"/>
    <s v="Keyboard"/>
    <s v="Accessories"/>
    <n v="852.88"/>
    <n v="3"/>
    <n v="0.16"/>
    <n v="0.23"/>
    <x v="1"/>
    <s v="CUST0258"/>
    <n v="2558.64"/>
  </r>
  <r>
    <n v="23"/>
    <d v="2024-02-21T00:00:00"/>
    <s v="Laptop"/>
    <s v="Electronics"/>
    <n v="673.02"/>
    <n v="3"/>
    <n v="0.01"/>
    <n v="0.28999999999999998"/>
    <x v="2"/>
    <s v="CUST0057"/>
    <n v="2019.06"/>
  </r>
  <r>
    <n v="24"/>
    <d v="2024-08-24T00:00:00"/>
    <s v="Keyboard"/>
    <s v="Accessories"/>
    <n v="855.83"/>
    <n v="4"/>
    <n v="0.27"/>
    <n v="0.17"/>
    <x v="1"/>
    <s v="CUST0127"/>
    <n v="3423.32"/>
  </r>
  <r>
    <n v="25"/>
    <d v="2024-07-05T00:00:00"/>
    <s v="Keyboard"/>
    <s v="Accessories"/>
    <n v="821.27"/>
    <n v="5"/>
    <n v="7.0000000000000007E-2"/>
    <n v="0.12"/>
    <x v="3"/>
    <s v="CUST0043"/>
    <n v="4106.3500000000004"/>
  </r>
  <r>
    <n v="26"/>
    <d v="2024-05-13T00:00:00"/>
    <s v="Monitor"/>
    <s v="Electronics"/>
    <n v="1049.81"/>
    <n v="4"/>
    <n v="0.28000000000000003"/>
    <n v="0.34"/>
    <x v="1"/>
    <s v="CUST0228"/>
    <n v="4199.24"/>
  </r>
  <r>
    <n v="27"/>
    <d v="2024-11-26T00:00:00"/>
    <s v="Headphones"/>
    <s v="Accessories"/>
    <n v="698.39"/>
    <n v="4"/>
    <n v="0.06"/>
    <n v="0.37"/>
    <x v="0"/>
    <s v="CUST0004"/>
    <n v="2793.56"/>
  </r>
  <r>
    <n v="28"/>
    <d v="2024-10-09T00:00:00"/>
    <s v="Laptop"/>
    <s v="Electronics"/>
    <n v="503.41"/>
    <n v="4"/>
    <n v="0.11"/>
    <n v="0.37"/>
    <x v="1"/>
    <s v="CUST0294"/>
    <n v="2013.64"/>
  </r>
  <r>
    <n v="29"/>
    <d v="2024-07-16T00:00:00"/>
    <s v="Tablet"/>
    <s v="Electronics"/>
    <n v="654.98"/>
    <n v="4"/>
    <n v="0.11"/>
    <n v="0.19"/>
    <x v="1"/>
    <s v="CUST0181"/>
    <n v="2619.92"/>
  </r>
  <r>
    <n v="30"/>
    <d v="2024-08-21T00:00:00"/>
    <s v="Keyboard"/>
    <s v="Accessories"/>
    <n v="778.35"/>
    <n v="1"/>
    <n v="0.15"/>
    <n v="0.31"/>
    <x v="0"/>
    <s v="CUST0007"/>
    <n v="778.35"/>
  </r>
  <r>
    <n v="31"/>
    <d v="2024-08-20T00:00:00"/>
    <s v="Monitor"/>
    <s v="Electronics"/>
    <n v="522.98"/>
    <n v="3"/>
    <n v="0.1"/>
    <n v="0.26"/>
    <x v="2"/>
    <s v="CUST0036"/>
    <n v="1568.94"/>
  </r>
  <r>
    <n v="32"/>
    <d v="2024-10-21T00:00:00"/>
    <s v="Laptop"/>
    <s v="Electronics"/>
    <n v="620.66"/>
    <n v="1"/>
    <n v="0.08"/>
    <n v="0.17"/>
    <x v="1"/>
    <s v="CUST0175"/>
    <n v="620.66"/>
  </r>
  <r>
    <n v="33"/>
    <d v="2024-07-05T00:00:00"/>
    <s v="Tablet"/>
    <s v="Electronics"/>
    <n v="758.44"/>
    <n v="1"/>
    <n v="0.04"/>
    <n v="0.4"/>
    <x v="1"/>
    <s v="CUST0026"/>
    <n v="758.44"/>
  </r>
  <r>
    <n v="34"/>
    <d v="2024-08-11T00:00:00"/>
    <s v="Tablet"/>
    <s v="Electronics"/>
    <n v="924.11"/>
    <n v="2"/>
    <n v="0.12"/>
    <n v="0.11"/>
    <x v="0"/>
    <s v="CUST0248"/>
    <n v="1848.22"/>
  </r>
  <r>
    <n v="35"/>
    <d v="2024-08-05T00:00:00"/>
    <s v="Mouse"/>
    <s v="Accessories"/>
    <n v="1364.69"/>
    <n v="3"/>
    <n v="0.2"/>
    <n v="0.26"/>
    <x v="3"/>
    <s v="CUST0184"/>
    <n v="4094.07"/>
  </r>
  <r>
    <n v="36"/>
    <d v="2024-09-11T00:00:00"/>
    <s v="Mouse"/>
    <s v="Accessories"/>
    <n v="1478.83"/>
    <n v="4"/>
    <n v="0.02"/>
    <n v="0.21"/>
    <x v="0"/>
    <s v="CUST0143"/>
    <n v="5915.32"/>
  </r>
  <r>
    <n v="37"/>
    <d v="2024-08-27T00:00:00"/>
    <s v="Tablet"/>
    <s v="Electronics"/>
    <n v="1209.6300000000001"/>
    <n v="5"/>
    <n v="0.19"/>
    <n v="0.28999999999999998"/>
    <x v="1"/>
    <s v="CUST0102"/>
    <n v="6048.1500000000005"/>
  </r>
  <r>
    <n v="38"/>
    <d v="2024-12-14T00:00:00"/>
    <s v="Mouse"/>
    <s v="Accessories"/>
    <n v="1202.56"/>
    <n v="1"/>
    <n v="0.1"/>
    <n v="0.16"/>
    <x v="3"/>
    <s v="CUST0181"/>
    <n v="1202.56"/>
  </r>
  <r>
    <n v="39"/>
    <d v="2024-05-26T00:00:00"/>
    <s v="Laptop"/>
    <s v="Electronics"/>
    <n v="1291.08"/>
    <n v="4"/>
    <n v="0.2"/>
    <n v="0.1"/>
    <x v="0"/>
    <s v="CUST0106"/>
    <n v="5164.32"/>
  </r>
  <r>
    <n v="40"/>
    <d v="2024-02-08T00:00:00"/>
    <s v="Laptop"/>
    <s v="Electronics"/>
    <n v="539.28"/>
    <n v="4"/>
    <n v="0.28000000000000003"/>
    <n v="0.22"/>
    <x v="3"/>
    <s v="CUST0239"/>
    <n v="2157.12"/>
  </r>
  <r>
    <n v="41"/>
    <d v="2024-05-30T00:00:00"/>
    <s v="Headphones"/>
    <s v="Accessories"/>
    <n v="1406.68"/>
    <n v="1"/>
    <n v="0.2"/>
    <n v="0.32"/>
    <x v="1"/>
    <s v="CUST0192"/>
    <n v="1406.68"/>
  </r>
  <r>
    <n v="42"/>
    <d v="2024-12-11T00:00:00"/>
    <s v="Laptop"/>
    <s v="Electronics"/>
    <n v="823.64"/>
    <n v="2"/>
    <n v="0.08"/>
    <n v="0.3"/>
    <x v="1"/>
    <s v="CUST0118"/>
    <n v="1647.28"/>
  </r>
  <r>
    <n v="43"/>
    <d v="2024-10-30T00:00:00"/>
    <s v="Monitor"/>
    <s v="Electronics"/>
    <n v="1473.7"/>
    <n v="4"/>
    <n v="0.16"/>
    <n v="0.17"/>
    <x v="1"/>
    <s v="CUST0081"/>
    <n v="5894.8"/>
  </r>
  <r>
    <n v="44"/>
    <d v="2024-01-09T00:00:00"/>
    <s v="Keyboard"/>
    <s v="Accessories"/>
    <n v="1448.99"/>
    <n v="5"/>
    <n v="0.27"/>
    <n v="0.28999999999999998"/>
    <x v="1"/>
    <s v="CUST0188"/>
    <n v="7244.95"/>
  </r>
  <r>
    <n v="45"/>
    <d v="2024-05-31T00:00:00"/>
    <s v="Laptop"/>
    <s v="Electronics"/>
    <n v="436.34"/>
    <n v="3"/>
    <n v="0.22"/>
    <n v="0.37"/>
    <x v="2"/>
    <s v="CUST0243"/>
    <n v="1309.02"/>
  </r>
  <r>
    <n v="46"/>
    <d v="2024-04-13T00:00:00"/>
    <s v="Laptop"/>
    <s v="Electronics"/>
    <n v="621.65"/>
    <n v="1"/>
    <n v="0.19"/>
    <n v="0.13"/>
    <x v="2"/>
    <s v="CUST0227"/>
    <n v="621.65"/>
  </r>
  <r>
    <n v="47"/>
    <d v="2024-06-01T00:00:00"/>
    <s v="Keyboard"/>
    <s v="Accessories"/>
    <n v="919.48"/>
    <n v="3"/>
    <n v="0.11"/>
    <n v="0.38"/>
    <x v="0"/>
    <s v="CUST0213"/>
    <n v="2758.44"/>
  </r>
  <r>
    <n v="48"/>
    <d v="2024-06-17T00:00:00"/>
    <s v="Headphones"/>
    <s v="Accessories"/>
    <n v="32.47"/>
    <n v="2"/>
    <n v="0.15"/>
    <n v="0.23"/>
    <x v="3"/>
    <s v="CUST0083"/>
    <n v="64.94"/>
  </r>
  <r>
    <n v="49"/>
    <d v="2024-05-14T00:00:00"/>
    <s v="Headphones"/>
    <s v="Accessories"/>
    <n v="284.49"/>
    <n v="4"/>
    <n v="7.0000000000000007E-2"/>
    <n v="0.2"/>
    <x v="2"/>
    <s v="CUST0210"/>
    <n v="1137.96"/>
  </r>
  <r>
    <n v="50"/>
    <d v="2024-01-22T00:00:00"/>
    <s v="Monitor"/>
    <s v="Electronics"/>
    <n v="1088.3900000000001"/>
    <n v="1"/>
    <n v="0.16"/>
    <n v="0.25"/>
    <x v="2"/>
    <s v="CUST0113"/>
    <n v="1088.3900000000001"/>
  </r>
  <r>
    <n v="51"/>
    <d v="2024-01-27T00:00:00"/>
    <s v="Monitor"/>
    <s v="Electronics"/>
    <n v="384.88"/>
    <n v="5"/>
    <n v="0.15"/>
    <n v="0.37"/>
    <x v="3"/>
    <s v="CUST0124"/>
    <n v="1924.4"/>
  </r>
  <r>
    <n v="52"/>
    <d v="2024-11-12T00:00:00"/>
    <s v="Mouse"/>
    <s v="Accessories"/>
    <n v="1197.3499999999999"/>
    <n v="1"/>
    <n v="0.17"/>
    <n v="0.25"/>
    <x v="2"/>
    <s v="CUST0241"/>
    <n v="1197.3499999999999"/>
  </r>
  <r>
    <n v="53"/>
    <d v="2024-01-17T00:00:00"/>
    <s v="Monitor"/>
    <s v="Electronics"/>
    <n v="761.31"/>
    <n v="4"/>
    <n v="0.01"/>
    <n v="0.28999999999999998"/>
    <x v="3"/>
    <s v="CUST0058"/>
    <n v="3045.24"/>
  </r>
  <r>
    <n v="54"/>
    <d v="2024-08-20T00:00:00"/>
    <s v="Laptop"/>
    <s v="Electronics"/>
    <n v="1491.96"/>
    <n v="5"/>
    <n v="0.08"/>
    <n v="0.37"/>
    <x v="3"/>
    <s v="CUST0248"/>
    <n v="7459.8"/>
  </r>
  <r>
    <n v="55"/>
    <d v="2024-04-08T00:00:00"/>
    <s v="Keyboard"/>
    <s v="Accessories"/>
    <n v="1430.78"/>
    <n v="5"/>
    <n v="0.13"/>
    <n v="0.39"/>
    <x v="1"/>
    <s v="CUST0230"/>
    <n v="7153.9"/>
  </r>
  <r>
    <n v="56"/>
    <d v="2024-06-09T00:00:00"/>
    <s v="Tablet"/>
    <s v="Electronics"/>
    <n v="1470.99"/>
    <n v="4"/>
    <n v="0.09"/>
    <n v="0.22"/>
    <x v="0"/>
    <s v="CUST0021"/>
    <n v="5883.96"/>
  </r>
  <r>
    <n v="57"/>
    <d v="2024-02-27T00:00:00"/>
    <s v="Monitor"/>
    <s v="Electronics"/>
    <n v="492.46"/>
    <n v="2"/>
    <n v="0.17"/>
    <n v="0.38"/>
    <x v="2"/>
    <s v="CUST0060"/>
    <n v="984.92"/>
  </r>
  <r>
    <n v="58"/>
    <d v="2024-05-06T00:00:00"/>
    <s v="Headphones"/>
    <s v="Accessories"/>
    <n v="1396.77"/>
    <n v="2"/>
    <n v="0.18"/>
    <n v="0.4"/>
    <x v="2"/>
    <s v="CUST0253"/>
    <n v="2793.54"/>
  </r>
  <r>
    <n v="59"/>
    <d v="2024-10-25T00:00:00"/>
    <s v="Tablet"/>
    <s v="Electronics"/>
    <n v="789.54"/>
    <n v="2"/>
    <n v="0.1"/>
    <n v="0.35"/>
    <x v="0"/>
    <s v="CUST0198"/>
    <n v="1579.08"/>
  </r>
  <r>
    <n v="60"/>
    <d v="2024-11-01T00:00:00"/>
    <s v="Monitor"/>
    <s v="Electronics"/>
    <n v="1070.6400000000001"/>
    <n v="5"/>
    <n v="0.09"/>
    <n v="0.23"/>
    <x v="3"/>
    <s v="CUST0278"/>
    <n v="5353.2000000000007"/>
  </r>
  <r>
    <n v="61"/>
    <d v="2024-02-05T00:00:00"/>
    <s v="Tablet"/>
    <s v="Electronics"/>
    <n v="1303.93"/>
    <n v="5"/>
    <n v="0.02"/>
    <n v="0.1"/>
    <x v="3"/>
    <s v="CUST0207"/>
    <n v="6519.6500000000005"/>
  </r>
  <r>
    <n v="62"/>
    <d v="2024-05-21T00:00:00"/>
    <s v="Keyboard"/>
    <s v="Accessories"/>
    <n v="1202.49"/>
    <n v="1"/>
    <n v="0.02"/>
    <n v="0.22"/>
    <x v="2"/>
    <s v="CUST0020"/>
    <n v="1202.49"/>
  </r>
  <r>
    <n v="63"/>
    <d v="2024-12-07T00:00:00"/>
    <s v="Keyboard"/>
    <s v="Accessories"/>
    <n v="1337.76"/>
    <n v="4"/>
    <n v="0.17"/>
    <n v="0.23"/>
    <x v="2"/>
    <s v="CUST0069"/>
    <n v="5351.04"/>
  </r>
  <r>
    <n v="64"/>
    <d v="2024-11-09T00:00:00"/>
    <s v="Tablet"/>
    <s v="Electronics"/>
    <n v="509.03"/>
    <n v="2"/>
    <n v="0.16"/>
    <n v="0.19"/>
    <x v="3"/>
    <s v="CUST0077"/>
    <n v="1018.06"/>
  </r>
  <r>
    <n v="65"/>
    <d v="2024-02-23T00:00:00"/>
    <s v="Headphones"/>
    <s v="Accessories"/>
    <n v="1294.0999999999999"/>
    <n v="1"/>
    <n v="0.01"/>
    <n v="0.35"/>
    <x v="1"/>
    <s v="CUST0278"/>
    <n v="1294.0999999999999"/>
  </r>
  <r>
    <n v="66"/>
    <d v="2024-04-17T00:00:00"/>
    <s v="Tablet"/>
    <s v="Electronics"/>
    <n v="817.2"/>
    <n v="5"/>
    <n v="0.16"/>
    <n v="0.33"/>
    <x v="1"/>
    <s v="CUST0258"/>
    <n v="4086"/>
  </r>
  <r>
    <n v="67"/>
    <d v="2024-12-15T00:00:00"/>
    <s v="Headphones"/>
    <s v="Accessories"/>
    <n v="943.76"/>
    <n v="4"/>
    <n v="0.25"/>
    <n v="0.16"/>
    <x v="3"/>
    <s v="CUST0233"/>
    <n v="3775.04"/>
  </r>
  <r>
    <n v="68"/>
    <d v="2024-04-15T00:00:00"/>
    <s v="Tablet"/>
    <s v="Electronics"/>
    <n v="822.44"/>
    <n v="4"/>
    <n v="0.04"/>
    <n v="0.39"/>
    <x v="2"/>
    <s v="CUST0014"/>
    <n v="3289.76"/>
  </r>
  <r>
    <n v="69"/>
    <d v="2024-02-27T00:00:00"/>
    <s v="Laptop"/>
    <s v="Electronics"/>
    <n v="501.36"/>
    <n v="1"/>
    <n v="0.12"/>
    <n v="0.23"/>
    <x v="0"/>
    <s v="CUST0038"/>
    <n v="501.36"/>
  </r>
  <r>
    <n v="70"/>
    <d v="2024-05-06T00:00:00"/>
    <s v="Laptop"/>
    <s v="Electronics"/>
    <n v="140.72"/>
    <n v="5"/>
    <n v="0.06"/>
    <n v="0.12"/>
    <x v="0"/>
    <s v="CUST0252"/>
    <n v="703.6"/>
  </r>
  <r>
    <n v="71"/>
    <d v="2024-08-26T00:00:00"/>
    <s v="Keyboard"/>
    <s v="Accessories"/>
    <n v="1051.56"/>
    <n v="5"/>
    <n v="0.02"/>
    <n v="0.37"/>
    <x v="0"/>
    <s v="CUST0276"/>
    <n v="5257.7999999999993"/>
  </r>
  <r>
    <n v="72"/>
    <d v="2024-09-28T00:00:00"/>
    <s v="Laptop"/>
    <s v="Electronics"/>
    <n v="394.11"/>
    <n v="1"/>
    <n v="0.2"/>
    <n v="0.18"/>
    <x v="0"/>
    <s v="CUST0058"/>
    <n v="394.11"/>
  </r>
  <r>
    <n v="73"/>
    <d v="2024-03-16T00:00:00"/>
    <s v="Monitor"/>
    <s v="Electronics"/>
    <n v="787.13"/>
    <n v="5"/>
    <n v="0.18"/>
    <n v="0.23"/>
    <x v="2"/>
    <s v="CUST0115"/>
    <n v="3935.65"/>
  </r>
  <r>
    <n v="74"/>
    <d v="2024-08-07T00:00:00"/>
    <s v="Headphones"/>
    <s v="Accessories"/>
    <n v="859.9"/>
    <n v="3"/>
    <n v="0.23"/>
    <n v="0.1"/>
    <x v="0"/>
    <s v="CUST0298"/>
    <n v="2579.6999999999998"/>
  </r>
  <r>
    <n v="75"/>
    <d v="2024-07-22T00:00:00"/>
    <s v="Laptop"/>
    <s v="Electronics"/>
    <n v="92.85"/>
    <n v="1"/>
    <n v="0.09"/>
    <n v="0.39"/>
    <x v="0"/>
    <s v="CUST0236"/>
    <n v="92.85"/>
  </r>
  <r>
    <n v="76"/>
    <d v="2024-10-15T00:00:00"/>
    <s v="Headphones"/>
    <s v="Accessories"/>
    <n v="50.31"/>
    <n v="2"/>
    <n v="0.15"/>
    <n v="0.24"/>
    <x v="2"/>
    <s v="CUST0194"/>
    <n v="100.62"/>
  </r>
  <r>
    <n v="77"/>
    <d v="2024-11-20T00:00:00"/>
    <s v="Headphones"/>
    <s v="Accessories"/>
    <n v="710.39"/>
    <n v="5"/>
    <n v="0.12"/>
    <n v="0.28000000000000003"/>
    <x v="2"/>
    <s v="CUST0295"/>
    <n v="3551.95"/>
  </r>
  <r>
    <n v="78"/>
    <d v="2024-04-05T00:00:00"/>
    <s v="Keyboard"/>
    <s v="Accessories"/>
    <n v="1332.85"/>
    <n v="4"/>
    <n v="0.11"/>
    <n v="0.28999999999999998"/>
    <x v="1"/>
    <s v="CUST0290"/>
    <n v="5331.4"/>
  </r>
  <r>
    <n v="79"/>
    <d v="2024-12-01T00:00:00"/>
    <s v="Headphones"/>
    <s v="Accessories"/>
    <n v="1288.32"/>
    <n v="5"/>
    <n v="0.21"/>
    <n v="0.28000000000000003"/>
    <x v="2"/>
    <s v="CUST0012"/>
    <n v="6441.5999999999995"/>
  </r>
  <r>
    <n v="80"/>
    <d v="2024-12-05T00:00:00"/>
    <s v="Laptop"/>
    <s v="Electronics"/>
    <n v="972.57"/>
    <n v="1"/>
    <n v="0.26"/>
    <n v="0.28999999999999998"/>
    <x v="1"/>
    <s v="CUST0161"/>
    <n v="972.57"/>
  </r>
  <r>
    <n v="81"/>
    <d v="2024-06-27T00:00:00"/>
    <s v="Headphones"/>
    <s v="Accessories"/>
    <n v="873.82"/>
    <n v="2"/>
    <n v="0.17"/>
    <n v="0.14000000000000001"/>
    <x v="1"/>
    <s v="CUST0053"/>
    <n v="1747.64"/>
  </r>
  <r>
    <n v="82"/>
    <d v="2024-11-25T00:00:00"/>
    <s v="Laptop"/>
    <s v="Electronics"/>
    <n v="1235.44"/>
    <n v="4"/>
    <n v="0.12"/>
    <n v="0.39"/>
    <x v="0"/>
    <s v="CUST0149"/>
    <n v="4941.76"/>
  </r>
  <r>
    <n v="83"/>
    <d v="2024-09-09T00:00:00"/>
    <s v="Keyboard"/>
    <s v="Accessories"/>
    <n v="329.86"/>
    <n v="5"/>
    <n v="0.02"/>
    <n v="0.13"/>
    <x v="3"/>
    <s v="CUST0069"/>
    <n v="1649.3000000000002"/>
  </r>
  <r>
    <n v="84"/>
    <d v="2024-04-02T00:00:00"/>
    <s v="Tablet"/>
    <s v="Electronics"/>
    <n v="164.3"/>
    <n v="3"/>
    <n v="0.1"/>
    <n v="0.3"/>
    <x v="0"/>
    <s v="CUST0065"/>
    <n v="492.90000000000003"/>
  </r>
  <r>
    <n v="85"/>
    <d v="2024-07-14T00:00:00"/>
    <s v="Mouse"/>
    <s v="Accessories"/>
    <n v="1271.19"/>
    <n v="2"/>
    <n v="0.1"/>
    <n v="0.18"/>
    <x v="3"/>
    <s v="CUST0032"/>
    <n v="2542.38"/>
  </r>
  <r>
    <n v="86"/>
    <d v="2024-08-04T00:00:00"/>
    <s v="Laptop"/>
    <s v="Electronics"/>
    <n v="1047.01"/>
    <n v="2"/>
    <n v="0.19"/>
    <n v="0.36"/>
    <x v="3"/>
    <s v="CUST0250"/>
    <n v="2094.02"/>
  </r>
  <r>
    <n v="87"/>
    <d v="2024-07-10T00:00:00"/>
    <s v="Mouse"/>
    <s v="Accessories"/>
    <n v="1210.1300000000001"/>
    <n v="1"/>
    <n v="0.16"/>
    <n v="0.23"/>
    <x v="1"/>
    <s v="CUST0209"/>
    <n v="1210.1300000000001"/>
  </r>
  <r>
    <n v="88"/>
    <d v="2024-04-05T00:00:00"/>
    <s v="Mouse"/>
    <s v="Accessories"/>
    <n v="874.49"/>
    <n v="3"/>
    <n v="0.12"/>
    <n v="0.21"/>
    <x v="2"/>
    <s v="CUST0010"/>
    <n v="2623.4700000000003"/>
  </r>
  <r>
    <n v="89"/>
    <d v="2024-10-05T00:00:00"/>
    <s v="Monitor"/>
    <s v="Electronics"/>
    <n v="527.69000000000005"/>
    <n v="5"/>
    <n v="7.0000000000000007E-2"/>
    <n v="0.3"/>
    <x v="0"/>
    <s v="CUST0190"/>
    <n v="2638.4500000000003"/>
  </r>
  <r>
    <n v="90"/>
    <d v="2024-03-24T00:00:00"/>
    <s v="Headphones"/>
    <s v="Accessories"/>
    <n v="1137.95"/>
    <n v="1"/>
    <n v="0.11"/>
    <n v="0.26"/>
    <x v="0"/>
    <s v="CUST0053"/>
    <n v="1137.95"/>
  </r>
  <r>
    <n v="91"/>
    <d v="2024-08-20T00:00:00"/>
    <s v="Mouse"/>
    <s v="Accessories"/>
    <n v="1244.02"/>
    <n v="5"/>
    <n v="0.27"/>
    <n v="0.22"/>
    <x v="0"/>
    <s v="CUST0275"/>
    <n v="6220.1"/>
  </r>
  <r>
    <n v="92"/>
    <d v="2024-02-21T00:00:00"/>
    <s v="Headphones"/>
    <s v="Accessories"/>
    <n v="1274.54"/>
    <n v="1"/>
    <n v="0.1"/>
    <n v="0.39"/>
    <x v="3"/>
    <s v="CUST0030"/>
    <n v="1274.54"/>
  </r>
  <r>
    <n v="93"/>
    <d v="2024-02-22T00:00:00"/>
    <s v="Laptop"/>
    <s v="Electronics"/>
    <n v="870.82"/>
    <n v="5"/>
    <n v="0.03"/>
    <n v="0.28000000000000003"/>
    <x v="3"/>
    <s v="CUST0234"/>
    <n v="4354.1000000000004"/>
  </r>
  <r>
    <n v="94"/>
    <d v="2024-07-04T00:00:00"/>
    <s v="Tablet"/>
    <s v="Electronics"/>
    <n v="1192.58"/>
    <n v="1"/>
    <n v="0.03"/>
    <n v="0.38"/>
    <x v="2"/>
    <s v="CUST0002"/>
    <n v="1192.58"/>
  </r>
  <r>
    <n v="95"/>
    <d v="2024-08-22T00:00:00"/>
    <s v="Tablet"/>
    <s v="Electronics"/>
    <n v="109.9"/>
    <n v="2"/>
    <n v="0.13"/>
    <n v="0.37"/>
    <x v="0"/>
    <s v="CUST0127"/>
    <n v="219.8"/>
  </r>
  <r>
    <n v="96"/>
    <d v="2024-09-09T00:00:00"/>
    <s v="Headphones"/>
    <s v="Accessories"/>
    <n v="1066.0999999999999"/>
    <n v="4"/>
    <n v="0.21"/>
    <n v="0.35"/>
    <x v="0"/>
    <s v="CUST0135"/>
    <n v="4264.3999999999996"/>
  </r>
  <r>
    <n v="97"/>
    <d v="2024-10-09T00:00:00"/>
    <s v="Tablet"/>
    <s v="Electronics"/>
    <n v="1261.76"/>
    <n v="5"/>
    <n v="7.0000000000000007E-2"/>
    <n v="0.22"/>
    <x v="3"/>
    <s v="CUST0147"/>
    <n v="6308.8"/>
  </r>
  <r>
    <n v="98"/>
    <d v="2024-05-15T00:00:00"/>
    <s v="Mouse"/>
    <s v="Accessories"/>
    <n v="1066.71"/>
    <n v="5"/>
    <n v="0.15"/>
    <n v="0.17"/>
    <x v="1"/>
    <s v="CUST0098"/>
    <n v="5333.55"/>
  </r>
  <r>
    <n v="99"/>
    <d v="2024-11-22T00:00:00"/>
    <s v="Keyboard"/>
    <s v="Accessories"/>
    <n v="577.04999999999995"/>
    <n v="1"/>
    <n v="0.26"/>
    <n v="0.17"/>
    <x v="0"/>
    <s v="CUST0073"/>
    <n v="577.04999999999995"/>
  </r>
  <r>
    <n v="100"/>
    <d v="2024-10-01T00:00:00"/>
    <s v="Laptop"/>
    <s v="Electronics"/>
    <n v="1479.35"/>
    <n v="4"/>
    <n v="0.11"/>
    <n v="0.31"/>
    <x v="2"/>
    <s v="CUST0129"/>
    <n v="5917.4"/>
  </r>
  <r>
    <n v="101"/>
    <d v="2024-05-05T00:00:00"/>
    <s v="Headphones"/>
    <s v="Accessories"/>
    <n v="1171.29"/>
    <n v="3"/>
    <n v="7.0000000000000007E-2"/>
    <n v="0.2"/>
    <x v="2"/>
    <s v="CUST0040"/>
    <n v="3513.87"/>
  </r>
  <r>
    <n v="102"/>
    <d v="2024-05-27T00:00:00"/>
    <s v="Keyboard"/>
    <s v="Accessories"/>
    <n v="751.62"/>
    <n v="5"/>
    <n v="0.12"/>
    <n v="0.27"/>
    <x v="2"/>
    <s v="CUST0279"/>
    <n v="3758.1"/>
  </r>
  <r>
    <n v="103"/>
    <d v="2024-12-13T00:00:00"/>
    <s v="Headphones"/>
    <s v="Accessories"/>
    <n v="200.26"/>
    <n v="5"/>
    <n v="0.25"/>
    <n v="0.32"/>
    <x v="0"/>
    <s v="CUST0213"/>
    <n v="1001.3"/>
  </r>
  <r>
    <n v="104"/>
    <d v="2024-04-26T00:00:00"/>
    <s v="Mouse"/>
    <s v="Accessories"/>
    <n v="1444.2"/>
    <n v="4"/>
    <n v="0.09"/>
    <n v="0.36"/>
    <x v="2"/>
    <s v="CUST0232"/>
    <n v="5776.8"/>
  </r>
  <r>
    <n v="105"/>
    <d v="2024-10-29T00:00:00"/>
    <s v="Tablet"/>
    <s v="Electronics"/>
    <n v="1445.75"/>
    <n v="4"/>
    <n v="0.28999999999999998"/>
    <n v="0.27"/>
    <x v="1"/>
    <s v="CUST0285"/>
    <n v="5783"/>
  </r>
  <r>
    <n v="106"/>
    <d v="2024-08-14T00:00:00"/>
    <s v="Keyboard"/>
    <s v="Accessories"/>
    <n v="1339.44"/>
    <n v="5"/>
    <n v="0.3"/>
    <n v="0.12"/>
    <x v="3"/>
    <s v="CUST0233"/>
    <n v="6697.2000000000007"/>
  </r>
  <r>
    <n v="107"/>
    <d v="2024-01-14T00:00:00"/>
    <s v="Laptop"/>
    <s v="Electronics"/>
    <n v="1050.73"/>
    <n v="1"/>
    <n v="0.16"/>
    <n v="0.28999999999999998"/>
    <x v="2"/>
    <s v="CUST0165"/>
    <n v="1050.73"/>
  </r>
  <r>
    <n v="108"/>
    <d v="2024-05-23T00:00:00"/>
    <s v="Keyboard"/>
    <s v="Accessories"/>
    <n v="459.38"/>
    <n v="1"/>
    <n v="0.19"/>
    <n v="0.28000000000000003"/>
    <x v="0"/>
    <s v="CUST0022"/>
    <n v="459.38"/>
  </r>
  <r>
    <n v="109"/>
    <d v="2024-12-23T00:00:00"/>
    <s v="Headphones"/>
    <s v="Accessories"/>
    <n v="1112.22"/>
    <n v="3"/>
    <n v="0.08"/>
    <n v="0.39"/>
    <x v="1"/>
    <s v="CUST0225"/>
    <n v="3336.66"/>
  </r>
  <r>
    <n v="110"/>
    <d v="2024-06-12T00:00:00"/>
    <s v="Keyboard"/>
    <s v="Accessories"/>
    <n v="697.09"/>
    <n v="4"/>
    <n v="0.1"/>
    <n v="0.15"/>
    <x v="0"/>
    <s v="CUST0027"/>
    <n v="2788.36"/>
  </r>
  <r>
    <n v="111"/>
    <d v="2024-12-22T00:00:00"/>
    <s v="Mouse"/>
    <s v="Accessories"/>
    <n v="708.96"/>
    <n v="2"/>
    <n v="7.0000000000000007E-2"/>
    <n v="0.18"/>
    <x v="0"/>
    <s v="CUST0281"/>
    <n v="1417.92"/>
  </r>
  <r>
    <n v="112"/>
    <d v="2024-07-30T00:00:00"/>
    <s v="Tablet"/>
    <s v="Electronics"/>
    <n v="1462.23"/>
    <n v="3"/>
    <n v="0.21"/>
    <n v="0.26"/>
    <x v="2"/>
    <s v="CUST0161"/>
    <n v="4386.6900000000005"/>
  </r>
  <r>
    <n v="113"/>
    <d v="2024-03-22T00:00:00"/>
    <s v="Keyboard"/>
    <s v="Accessories"/>
    <n v="914.1"/>
    <n v="5"/>
    <n v="0.04"/>
    <n v="0.12"/>
    <x v="0"/>
    <s v="CUST0145"/>
    <n v="4570.5"/>
  </r>
  <r>
    <n v="114"/>
    <d v="2024-11-07T00:00:00"/>
    <s v="Keyboard"/>
    <s v="Accessories"/>
    <n v="639.54"/>
    <n v="5"/>
    <n v="0.18"/>
    <n v="0.23"/>
    <x v="1"/>
    <s v="CUST0031"/>
    <n v="3197.7"/>
  </r>
  <r>
    <n v="115"/>
    <d v="2024-10-15T00:00:00"/>
    <s v="Keyboard"/>
    <s v="Accessories"/>
    <n v="1318.08"/>
    <n v="3"/>
    <n v="0.01"/>
    <n v="0.11"/>
    <x v="3"/>
    <s v="CUST0037"/>
    <n v="3954.24"/>
  </r>
  <r>
    <n v="116"/>
    <d v="2024-12-06T00:00:00"/>
    <s v="Mouse"/>
    <s v="Accessories"/>
    <n v="1171.96"/>
    <n v="2"/>
    <n v="0.3"/>
    <n v="0.15"/>
    <x v="0"/>
    <s v="CUST0212"/>
    <n v="2343.92"/>
  </r>
  <r>
    <n v="117"/>
    <d v="2024-04-07T00:00:00"/>
    <s v="Headphones"/>
    <s v="Accessories"/>
    <n v="1130.6300000000001"/>
    <n v="1"/>
    <n v="0.28999999999999998"/>
    <n v="0.35"/>
    <x v="0"/>
    <s v="CUST0125"/>
    <n v="1130.6300000000001"/>
  </r>
  <r>
    <n v="118"/>
    <d v="2024-07-15T00:00:00"/>
    <s v="Monitor"/>
    <s v="Electronics"/>
    <n v="79.31"/>
    <n v="1"/>
    <n v="0"/>
    <n v="0.12"/>
    <x v="2"/>
    <s v="CUST0165"/>
    <n v="79.31"/>
  </r>
  <r>
    <n v="119"/>
    <d v="2024-06-13T00:00:00"/>
    <s v="Keyboard"/>
    <s v="Accessories"/>
    <n v="1499.58"/>
    <n v="3"/>
    <n v="0.17"/>
    <n v="0.33"/>
    <x v="2"/>
    <s v="CUST0292"/>
    <n v="4498.74"/>
  </r>
  <r>
    <n v="120"/>
    <d v="2024-01-01T00:00:00"/>
    <s v="Headphones"/>
    <s v="Accessories"/>
    <n v="1141.69"/>
    <n v="3"/>
    <n v="7.0000000000000007E-2"/>
    <n v="0.24"/>
    <x v="2"/>
    <s v="CUST0251"/>
    <n v="3425.07"/>
  </r>
  <r>
    <n v="121"/>
    <d v="2024-10-14T00:00:00"/>
    <s v="Keyboard"/>
    <s v="Accessories"/>
    <n v="1432.23"/>
    <n v="5"/>
    <n v="0.06"/>
    <n v="0.36"/>
    <x v="2"/>
    <s v="CUST0279"/>
    <n v="7161.15"/>
  </r>
  <r>
    <n v="122"/>
    <d v="2024-09-15T00:00:00"/>
    <s v="Keyboard"/>
    <s v="Accessories"/>
    <n v="94.17"/>
    <n v="2"/>
    <n v="0.15"/>
    <n v="0.24"/>
    <x v="1"/>
    <s v="CUST0241"/>
    <n v="188.34"/>
  </r>
  <r>
    <n v="123"/>
    <d v="2024-08-09T00:00:00"/>
    <s v="Monitor"/>
    <s v="Electronics"/>
    <n v="792.24"/>
    <n v="4"/>
    <n v="0.24"/>
    <n v="0.39"/>
    <x v="0"/>
    <s v="CUST0128"/>
    <n v="3168.96"/>
  </r>
  <r>
    <n v="124"/>
    <d v="2024-07-25T00:00:00"/>
    <s v="Monitor"/>
    <s v="Electronics"/>
    <n v="1192.93"/>
    <n v="1"/>
    <n v="0.04"/>
    <n v="0.11"/>
    <x v="0"/>
    <s v="CUST0157"/>
    <n v="1192.93"/>
  </r>
  <r>
    <n v="125"/>
    <d v="2024-07-10T00:00:00"/>
    <s v="Tablet"/>
    <s v="Electronics"/>
    <n v="1182.3900000000001"/>
    <n v="2"/>
    <n v="0.24"/>
    <n v="0.37"/>
    <x v="3"/>
    <s v="CUST0205"/>
    <n v="2364.7800000000002"/>
  </r>
  <r>
    <n v="126"/>
    <d v="2024-12-12T00:00:00"/>
    <s v="Monitor"/>
    <s v="Electronics"/>
    <n v="46.45"/>
    <n v="2"/>
    <n v="0.18"/>
    <n v="0.22"/>
    <x v="3"/>
    <s v="CUST0175"/>
    <n v="92.9"/>
  </r>
  <r>
    <n v="127"/>
    <d v="2024-11-30T00:00:00"/>
    <s v="Keyboard"/>
    <s v="Accessories"/>
    <n v="159.22999999999999"/>
    <n v="2"/>
    <n v="0.1"/>
    <n v="0.25"/>
    <x v="1"/>
    <s v="CUST0248"/>
    <n v="318.45999999999998"/>
  </r>
  <r>
    <n v="128"/>
    <d v="2024-05-17T00:00:00"/>
    <s v="Mouse"/>
    <s v="Accessories"/>
    <n v="609.9"/>
    <n v="2"/>
    <n v="0.26"/>
    <n v="0.38"/>
    <x v="1"/>
    <s v="CUST0015"/>
    <n v="1219.8"/>
  </r>
  <r>
    <n v="129"/>
    <d v="2024-03-09T00:00:00"/>
    <s v="Tablet"/>
    <s v="Electronics"/>
    <n v="1391.72"/>
    <n v="2"/>
    <n v="0.23"/>
    <n v="0.12"/>
    <x v="0"/>
    <s v="CUST0085"/>
    <n v="2783.44"/>
  </r>
  <r>
    <n v="130"/>
    <d v="2024-02-12T00:00:00"/>
    <s v="Keyboard"/>
    <s v="Accessories"/>
    <n v="1470.55"/>
    <n v="5"/>
    <n v="0.1"/>
    <n v="0.16"/>
    <x v="0"/>
    <s v="CUST0088"/>
    <n v="7352.75"/>
  </r>
  <r>
    <n v="131"/>
    <d v="2024-12-01T00:00:00"/>
    <s v="Headphones"/>
    <s v="Accessories"/>
    <n v="379.21"/>
    <n v="3"/>
    <n v="0.16"/>
    <n v="0.24"/>
    <x v="1"/>
    <s v="CUST0027"/>
    <n v="1137.6299999999999"/>
  </r>
  <r>
    <n v="132"/>
    <d v="2024-07-13T00:00:00"/>
    <s v="Laptop"/>
    <s v="Electronics"/>
    <n v="249.06"/>
    <n v="4"/>
    <n v="0.05"/>
    <n v="0.2"/>
    <x v="2"/>
    <s v="CUST0250"/>
    <n v="996.24"/>
  </r>
  <r>
    <n v="133"/>
    <d v="2024-05-01T00:00:00"/>
    <s v="Laptop"/>
    <s v="Electronics"/>
    <n v="1314.62"/>
    <n v="3"/>
    <n v="0.2"/>
    <n v="0.15"/>
    <x v="0"/>
    <s v="CUST0156"/>
    <n v="3943.8599999999997"/>
  </r>
  <r>
    <n v="134"/>
    <d v="2024-11-12T00:00:00"/>
    <s v="Headphones"/>
    <s v="Accessories"/>
    <n v="355.18"/>
    <n v="5"/>
    <n v="0.05"/>
    <n v="0.18"/>
    <x v="3"/>
    <s v="CUST0132"/>
    <n v="1775.9"/>
  </r>
  <r>
    <n v="135"/>
    <d v="2024-02-15T00:00:00"/>
    <s v="Tablet"/>
    <s v="Electronics"/>
    <n v="71.91"/>
    <n v="1"/>
    <n v="0.16"/>
    <n v="0.21"/>
    <x v="3"/>
    <s v="CUST0104"/>
    <n v="71.91"/>
  </r>
  <r>
    <n v="136"/>
    <d v="2024-09-05T00:00:00"/>
    <s v="Laptop"/>
    <s v="Electronics"/>
    <n v="562.29999999999995"/>
    <n v="2"/>
    <n v="0.21"/>
    <n v="0.11"/>
    <x v="2"/>
    <s v="CUST0229"/>
    <n v="1124.5999999999999"/>
  </r>
  <r>
    <n v="137"/>
    <d v="2024-01-26T00:00:00"/>
    <s v="Keyboard"/>
    <s v="Accessories"/>
    <n v="734.69"/>
    <n v="3"/>
    <n v="0.28000000000000003"/>
    <n v="0.12"/>
    <x v="3"/>
    <s v="CUST0112"/>
    <n v="2204.0700000000002"/>
  </r>
  <r>
    <n v="138"/>
    <d v="2024-10-29T00:00:00"/>
    <s v="Monitor"/>
    <s v="Electronics"/>
    <n v="1305.74"/>
    <n v="1"/>
    <n v="0.18"/>
    <n v="0.4"/>
    <x v="3"/>
    <s v="CUST0202"/>
    <n v="1305.74"/>
  </r>
  <r>
    <n v="139"/>
    <d v="2024-12-30T00:00:00"/>
    <s v="Headphones"/>
    <s v="Accessories"/>
    <n v="571.45000000000005"/>
    <n v="2"/>
    <n v="0.23"/>
    <n v="0.26"/>
    <x v="0"/>
    <s v="CUST0077"/>
    <n v="1142.9000000000001"/>
  </r>
  <r>
    <n v="140"/>
    <d v="2024-04-20T00:00:00"/>
    <s v="Mouse"/>
    <s v="Accessories"/>
    <n v="116.95"/>
    <n v="3"/>
    <n v="0.08"/>
    <n v="0.31"/>
    <x v="3"/>
    <s v="CUST0030"/>
    <n v="350.85"/>
  </r>
  <r>
    <n v="141"/>
    <d v="2024-10-20T00:00:00"/>
    <s v="Tablet"/>
    <s v="Electronics"/>
    <n v="1270.55"/>
    <n v="3"/>
    <n v="0.16"/>
    <n v="0.13"/>
    <x v="0"/>
    <s v="CUST0049"/>
    <n v="3811.6499999999996"/>
  </r>
  <r>
    <n v="142"/>
    <d v="2024-02-08T00:00:00"/>
    <s v="Tablet"/>
    <s v="Electronics"/>
    <n v="810.61"/>
    <n v="1"/>
    <n v="0.22"/>
    <n v="0.15"/>
    <x v="0"/>
    <s v="CUST0079"/>
    <n v="810.61"/>
  </r>
  <r>
    <n v="143"/>
    <d v="2024-01-13T00:00:00"/>
    <s v="Monitor"/>
    <s v="Electronics"/>
    <n v="500.07"/>
    <n v="2"/>
    <n v="0.16"/>
    <n v="0.17"/>
    <x v="0"/>
    <s v="CUST0046"/>
    <n v="1000.14"/>
  </r>
  <r>
    <n v="144"/>
    <d v="2024-05-25T00:00:00"/>
    <s v="Keyboard"/>
    <s v="Accessories"/>
    <n v="900.55"/>
    <n v="4"/>
    <n v="0.11"/>
    <n v="0.28999999999999998"/>
    <x v="3"/>
    <s v="CUST0119"/>
    <n v="3602.2"/>
  </r>
  <r>
    <n v="145"/>
    <d v="2024-08-23T00:00:00"/>
    <s v="Laptop"/>
    <s v="Electronics"/>
    <n v="153.21"/>
    <n v="2"/>
    <n v="0.17"/>
    <n v="0.28000000000000003"/>
    <x v="2"/>
    <s v="CUST0223"/>
    <n v="306.42"/>
  </r>
  <r>
    <n v="146"/>
    <d v="2024-11-15T00:00:00"/>
    <s v="Laptop"/>
    <s v="Electronics"/>
    <n v="213.18"/>
    <n v="1"/>
    <n v="0.1"/>
    <n v="0.37"/>
    <x v="0"/>
    <s v="CUST0098"/>
    <n v="213.18"/>
  </r>
  <r>
    <n v="147"/>
    <d v="2024-10-15T00:00:00"/>
    <s v="Mouse"/>
    <s v="Accessories"/>
    <n v="866.9"/>
    <n v="3"/>
    <n v="0.3"/>
    <n v="0.28000000000000003"/>
    <x v="0"/>
    <s v="CUST0214"/>
    <n v="2600.6999999999998"/>
  </r>
  <r>
    <n v="148"/>
    <d v="2024-01-04T00:00:00"/>
    <s v="Tablet"/>
    <s v="Electronics"/>
    <n v="36.11"/>
    <n v="5"/>
    <n v="0.05"/>
    <n v="0.17"/>
    <x v="0"/>
    <s v="CUST0163"/>
    <n v="180.55"/>
  </r>
  <r>
    <n v="149"/>
    <d v="2024-02-09T00:00:00"/>
    <s v="Headphones"/>
    <s v="Accessories"/>
    <n v="1279.96"/>
    <n v="1"/>
    <n v="0.02"/>
    <n v="0.26"/>
    <x v="3"/>
    <s v="CUST0185"/>
    <n v="1279.96"/>
  </r>
  <r>
    <n v="150"/>
    <d v="2024-11-30T00:00:00"/>
    <s v="Keyboard"/>
    <s v="Accessories"/>
    <n v="1053.02"/>
    <n v="2"/>
    <n v="0.17"/>
    <n v="0.38"/>
    <x v="1"/>
    <s v="CUST0189"/>
    <n v="2106.04"/>
  </r>
  <r>
    <n v="151"/>
    <d v="2024-03-02T00:00:00"/>
    <s v="Mouse"/>
    <s v="Accessories"/>
    <n v="1230.18"/>
    <n v="1"/>
    <n v="0.15"/>
    <n v="0.32"/>
    <x v="3"/>
    <s v="CUST0062"/>
    <n v="1230.18"/>
  </r>
  <r>
    <n v="152"/>
    <d v="2024-10-26T00:00:00"/>
    <s v="Mouse"/>
    <s v="Accessories"/>
    <n v="1395.83"/>
    <n v="3"/>
    <n v="0.17"/>
    <n v="0.18"/>
    <x v="2"/>
    <s v="CUST0231"/>
    <n v="4187.49"/>
  </r>
  <r>
    <n v="153"/>
    <d v="2024-08-12T00:00:00"/>
    <s v="Tablet"/>
    <s v="Electronics"/>
    <n v="327.49"/>
    <n v="2"/>
    <n v="0.1"/>
    <n v="0.23"/>
    <x v="1"/>
    <s v="CUST0064"/>
    <n v="654.98"/>
  </r>
  <r>
    <n v="154"/>
    <d v="2024-11-15T00:00:00"/>
    <s v="Monitor"/>
    <s v="Electronics"/>
    <n v="1110.96"/>
    <n v="4"/>
    <n v="0.03"/>
    <n v="0.28000000000000003"/>
    <x v="2"/>
    <s v="CUST0001"/>
    <n v="4443.84"/>
  </r>
  <r>
    <n v="155"/>
    <d v="2024-09-15T00:00:00"/>
    <s v="Laptop"/>
    <s v="Electronics"/>
    <n v="153.75"/>
    <n v="3"/>
    <n v="0.28000000000000003"/>
    <n v="0.2"/>
    <x v="1"/>
    <s v="CUST0085"/>
    <n v="461.25"/>
  </r>
  <r>
    <n v="156"/>
    <d v="2024-05-17T00:00:00"/>
    <s v="Keyboard"/>
    <s v="Accessories"/>
    <n v="101.44"/>
    <n v="2"/>
    <n v="0.14000000000000001"/>
    <n v="0.26"/>
    <x v="3"/>
    <s v="CUST0132"/>
    <n v="202.88"/>
  </r>
  <r>
    <n v="157"/>
    <d v="2024-11-14T00:00:00"/>
    <s v="Headphones"/>
    <s v="Accessories"/>
    <n v="1485.19"/>
    <n v="5"/>
    <n v="0.21"/>
    <n v="0.13"/>
    <x v="3"/>
    <s v="CUST0112"/>
    <n v="7425.9500000000007"/>
  </r>
  <r>
    <n v="158"/>
    <d v="2024-02-07T00:00:00"/>
    <s v="Monitor"/>
    <s v="Electronics"/>
    <n v="1030.22"/>
    <n v="1"/>
    <n v="0.04"/>
    <n v="0.24"/>
    <x v="2"/>
    <s v="CUST0177"/>
    <n v="1030.22"/>
  </r>
  <r>
    <n v="159"/>
    <d v="2024-11-29T00:00:00"/>
    <s v="Mouse"/>
    <s v="Accessories"/>
    <n v="632.47"/>
    <n v="1"/>
    <n v="0.26"/>
    <n v="0.32"/>
    <x v="2"/>
    <s v="CUST0065"/>
    <n v="632.47"/>
  </r>
  <r>
    <n v="160"/>
    <d v="2024-02-04T00:00:00"/>
    <s v="Keyboard"/>
    <s v="Accessories"/>
    <n v="1401.08"/>
    <n v="3"/>
    <n v="0.28000000000000003"/>
    <n v="0.15"/>
    <x v="1"/>
    <s v="CUST0266"/>
    <n v="4203.24"/>
  </r>
  <r>
    <n v="161"/>
    <d v="2024-12-26T00:00:00"/>
    <s v="Keyboard"/>
    <s v="Accessories"/>
    <n v="1391.51"/>
    <n v="4"/>
    <n v="0.25"/>
    <n v="0.14000000000000001"/>
    <x v="2"/>
    <s v="CUST0055"/>
    <n v="5566.04"/>
  </r>
  <r>
    <n v="162"/>
    <d v="2024-01-05T00:00:00"/>
    <s v="Monitor"/>
    <s v="Electronics"/>
    <n v="1131.99"/>
    <n v="4"/>
    <n v="0.05"/>
    <n v="0.15"/>
    <x v="0"/>
    <s v="CUST0257"/>
    <n v="4527.96"/>
  </r>
  <r>
    <n v="163"/>
    <d v="2024-02-11T00:00:00"/>
    <s v="Headphones"/>
    <s v="Accessories"/>
    <n v="372.65"/>
    <n v="2"/>
    <n v="0.27"/>
    <n v="0.19"/>
    <x v="0"/>
    <s v="CUST0208"/>
    <n v="745.3"/>
  </r>
  <r>
    <n v="164"/>
    <d v="2024-03-03T00:00:00"/>
    <s v="Tablet"/>
    <s v="Electronics"/>
    <n v="603.86"/>
    <n v="3"/>
    <n v="0.19"/>
    <n v="0.26"/>
    <x v="0"/>
    <s v="CUST0158"/>
    <n v="1811.58"/>
  </r>
  <r>
    <n v="165"/>
    <d v="2024-11-04T00:00:00"/>
    <s v="Tablet"/>
    <s v="Electronics"/>
    <n v="766.51"/>
    <n v="1"/>
    <n v="0.11"/>
    <n v="0.22"/>
    <x v="3"/>
    <s v="CUST0016"/>
    <n v="766.51"/>
  </r>
  <r>
    <n v="166"/>
    <d v="2024-03-07T00:00:00"/>
    <s v="Mouse"/>
    <s v="Accessories"/>
    <n v="1362.05"/>
    <n v="3"/>
    <n v="0.16"/>
    <n v="0.23"/>
    <x v="3"/>
    <s v="CUST0007"/>
    <n v="4086.1499999999996"/>
  </r>
  <r>
    <n v="167"/>
    <d v="2024-06-05T00:00:00"/>
    <s v="Monitor"/>
    <s v="Electronics"/>
    <n v="950.87"/>
    <n v="2"/>
    <n v="0.04"/>
    <n v="0.34"/>
    <x v="3"/>
    <s v="CUST0261"/>
    <n v="1901.74"/>
  </r>
  <r>
    <n v="168"/>
    <d v="2024-04-06T00:00:00"/>
    <s v="Monitor"/>
    <s v="Electronics"/>
    <n v="755.75"/>
    <n v="3"/>
    <n v="0.24"/>
    <n v="0.15"/>
    <x v="1"/>
    <s v="CUST0186"/>
    <n v="2267.25"/>
  </r>
  <r>
    <n v="169"/>
    <d v="2024-03-26T00:00:00"/>
    <s v="Mouse"/>
    <s v="Accessories"/>
    <n v="1067.8"/>
    <n v="3"/>
    <n v="0.22"/>
    <n v="0.11"/>
    <x v="2"/>
    <s v="CUST0175"/>
    <n v="3203.3999999999996"/>
  </r>
  <r>
    <n v="170"/>
    <d v="2024-10-20T00:00:00"/>
    <s v="Keyboard"/>
    <s v="Accessories"/>
    <n v="1078.24"/>
    <n v="5"/>
    <n v="0.26"/>
    <n v="0.2"/>
    <x v="1"/>
    <s v="CUST0231"/>
    <n v="5391.2"/>
  </r>
  <r>
    <n v="171"/>
    <d v="2024-01-15T00:00:00"/>
    <s v="Keyboard"/>
    <s v="Accessories"/>
    <n v="816.31"/>
    <n v="4"/>
    <n v="0.14000000000000001"/>
    <n v="0.28000000000000003"/>
    <x v="1"/>
    <s v="CUST0044"/>
    <n v="3265.24"/>
  </r>
  <r>
    <n v="172"/>
    <d v="2024-06-21T00:00:00"/>
    <s v="Mouse"/>
    <s v="Accessories"/>
    <n v="1201.01"/>
    <n v="5"/>
    <n v="0.15"/>
    <n v="0.22"/>
    <x v="3"/>
    <s v="CUST0264"/>
    <n v="6005.05"/>
  </r>
  <r>
    <n v="173"/>
    <d v="2024-10-25T00:00:00"/>
    <s v="Monitor"/>
    <s v="Electronics"/>
    <n v="1087.05"/>
    <n v="3"/>
    <n v="0.21"/>
    <n v="0.26"/>
    <x v="0"/>
    <s v="CUST0123"/>
    <n v="3261.1499999999996"/>
  </r>
  <r>
    <n v="174"/>
    <d v="2024-02-07T00:00:00"/>
    <s v="Monitor"/>
    <s v="Electronics"/>
    <n v="908.57"/>
    <n v="4"/>
    <n v="0.05"/>
    <n v="0.37"/>
    <x v="3"/>
    <s v="CUST0004"/>
    <n v="3634.28"/>
  </r>
  <r>
    <n v="175"/>
    <d v="2024-05-20T00:00:00"/>
    <s v="Headphones"/>
    <s v="Accessories"/>
    <n v="360.34"/>
    <n v="2"/>
    <n v="0.28000000000000003"/>
    <n v="0.15"/>
    <x v="3"/>
    <s v="CUST0300"/>
    <n v="720.68"/>
  </r>
  <r>
    <n v="176"/>
    <d v="2024-11-11T00:00:00"/>
    <s v="Laptop"/>
    <s v="Electronics"/>
    <n v="230.2"/>
    <n v="2"/>
    <n v="0.18"/>
    <n v="0.11"/>
    <x v="0"/>
    <s v="CUST0134"/>
    <n v="460.4"/>
  </r>
  <r>
    <n v="177"/>
    <d v="2024-10-19T00:00:00"/>
    <s v="Mouse"/>
    <s v="Accessories"/>
    <n v="899.62"/>
    <n v="4"/>
    <n v="0.17"/>
    <n v="0.31"/>
    <x v="1"/>
    <s v="CUST0244"/>
    <n v="3598.48"/>
  </r>
  <r>
    <n v="178"/>
    <d v="2024-02-20T00:00:00"/>
    <s v="Laptop"/>
    <s v="Electronics"/>
    <n v="1068.18"/>
    <n v="2"/>
    <n v="0.23"/>
    <n v="0.21"/>
    <x v="0"/>
    <s v="CUST0055"/>
    <n v="2136.36"/>
  </r>
  <r>
    <n v="179"/>
    <d v="2024-10-28T00:00:00"/>
    <s v="Mouse"/>
    <s v="Accessories"/>
    <n v="1111.26"/>
    <n v="1"/>
    <n v="0.28000000000000003"/>
    <n v="0.24"/>
    <x v="3"/>
    <s v="CUST0188"/>
    <n v="1111.26"/>
  </r>
  <r>
    <n v="180"/>
    <d v="2024-11-08T00:00:00"/>
    <s v="Laptop"/>
    <s v="Electronics"/>
    <n v="372.96"/>
    <n v="2"/>
    <n v="0.25"/>
    <n v="0.14000000000000001"/>
    <x v="0"/>
    <s v="CUST0140"/>
    <n v="745.92"/>
  </r>
  <r>
    <n v="181"/>
    <d v="2024-11-04T00:00:00"/>
    <s v="Tablet"/>
    <s v="Electronics"/>
    <n v="514.91999999999996"/>
    <n v="3"/>
    <n v="0.18"/>
    <n v="0.22"/>
    <x v="3"/>
    <s v="CUST0042"/>
    <n v="1544.7599999999998"/>
  </r>
  <r>
    <n v="182"/>
    <d v="2024-10-17T00:00:00"/>
    <s v="Laptop"/>
    <s v="Electronics"/>
    <n v="519.41999999999996"/>
    <n v="4"/>
    <n v="0.24"/>
    <n v="0.28000000000000003"/>
    <x v="3"/>
    <s v="CUST0056"/>
    <n v="2077.6799999999998"/>
  </r>
  <r>
    <n v="183"/>
    <d v="2024-07-28T00:00:00"/>
    <s v="Monitor"/>
    <s v="Electronics"/>
    <n v="612.29999999999995"/>
    <n v="1"/>
    <n v="0.26"/>
    <n v="0.38"/>
    <x v="0"/>
    <s v="CUST0279"/>
    <n v="612.29999999999995"/>
  </r>
  <r>
    <n v="184"/>
    <d v="2024-12-29T00:00:00"/>
    <s v="Tablet"/>
    <s v="Electronics"/>
    <n v="734.23"/>
    <n v="3"/>
    <n v="0.14000000000000001"/>
    <n v="0.17"/>
    <x v="2"/>
    <s v="CUST0058"/>
    <n v="2202.69"/>
  </r>
  <r>
    <n v="185"/>
    <d v="2024-12-09T00:00:00"/>
    <s v="Headphones"/>
    <s v="Accessories"/>
    <n v="1371.31"/>
    <n v="1"/>
    <n v="0.15"/>
    <n v="0.23"/>
    <x v="3"/>
    <s v="CUST0141"/>
    <n v="1371.31"/>
  </r>
  <r>
    <n v="186"/>
    <d v="2024-06-04T00:00:00"/>
    <s v="Mouse"/>
    <s v="Accessories"/>
    <n v="484.42"/>
    <n v="5"/>
    <n v="0.17"/>
    <n v="0.28999999999999998"/>
    <x v="3"/>
    <s v="CUST0087"/>
    <n v="2422.1"/>
  </r>
  <r>
    <n v="187"/>
    <d v="2024-06-25T00:00:00"/>
    <s v="Tablet"/>
    <s v="Electronics"/>
    <n v="338.7"/>
    <n v="1"/>
    <n v="0.05"/>
    <n v="0.39"/>
    <x v="1"/>
    <s v="CUST0289"/>
    <n v="338.7"/>
  </r>
  <r>
    <n v="188"/>
    <d v="2024-11-22T00:00:00"/>
    <s v="Keyboard"/>
    <s v="Accessories"/>
    <n v="847.03"/>
    <n v="4"/>
    <n v="0.16"/>
    <n v="0.16"/>
    <x v="1"/>
    <s v="CUST0113"/>
    <n v="3388.12"/>
  </r>
  <r>
    <n v="189"/>
    <d v="2024-07-29T00:00:00"/>
    <s v="Laptop"/>
    <s v="Electronics"/>
    <n v="903.19"/>
    <n v="5"/>
    <n v="0.12"/>
    <n v="0.23"/>
    <x v="2"/>
    <s v="CUST0201"/>
    <n v="4515.9500000000007"/>
  </r>
  <r>
    <n v="190"/>
    <d v="2024-05-23T00:00:00"/>
    <s v="Headphones"/>
    <s v="Accessories"/>
    <n v="540.35"/>
    <n v="5"/>
    <n v="0.19"/>
    <n v="0.21"/>
    <x v="2"/>
    <s v="CUST0214"/>
    <n v="2701.75"/>
  </r>
  <r>
    <n v="191"/>
    <d v="2024-07-12T00:00:00"/>
    <s v="Monitor"/>
    <s v="Electronics"/>
    <n v="858.14"/>
    <n v="2"/>
    <n v="0.09"/>
    <n v="0.31"/>
    <x v="2"/>
    <s v="CUST0038"/>
    <n v="1716.28"/>
  </r>
  <r>
    <n v="192"/>
    <d v="2024-11-14T00:00:00"/>
    <s v="Mouse"/>
    <s v="Accessories"/>
    <n v="813.32"/>
    <n v="1"/>
    <n v="0.12"/>
    <n v="0.27"/>
    <x v="3"/>
    <s v="CUST0021"/>
    <n v="813.32"/>
  </r>
  <r>
    <n v="193"/>
    <d v="2024-09-22T00:00:00"/>
    <s v="Tablet"/>
    <s v="Electronics"/>
    <n v="176.9"/>
    <n v="5"/>
    <n v="0.02"/>
    <n v="0.33"/>
    <x v="0"/>
    <s v="CUST0176"/>
    <n v="884.5"/>
  </r>
  <r>
    <n v="194"/>
    <d v="2024-10-14T00:00:00"/>
    <s v="Keyboard"/>
    <s v="Accessories"/>
    <n v="424.35"/>
    <n v="2"/>
    <n v="0.12"/>
    <n v="0.11"/>
    <x v="0"/>
    <s v="CUST0279"/>
    <n v="848.7"/>
  </r>
  <r>
    <n v="195"/>
    <d v="2024-11-18T00:00:00"/>
    <s v="Headphones"/>
    <s v="Accessories"/>
    <n v="1081.06"/>
    <n v="5"/>
    <n v="0.12"/>
    <n v="0.27"/>
    <x v="0"/>
    <s v="CUST0074"/>
    <n v="5405.2999999999993"/>
  </r>
  <r>
    <n v="196"/>
    <d v="2024-09-05T00:00:00"/>
    <s v="Headphones"/>
    <s v="Accessories"/>
    <n v="365.84"/>
    <n v="3"/>
    <n v="0.15"/>
    <n v="0.28000000000000003"/>
    <x v="1"/>
    <s v="CUST0218"/>
    <n v="1097.52"/>
  </r>
  <r>
    <n v="197"/>
    <d v="2024-09-20T00:00:00"/>
    <s v="Monitor"/>
    <s v="Electronics"/>
    <n v="1204.8800000000001"/>
    <n v="3"/>
    <n v="0.27"/>
    <n v="0.27"/>
    <x v="3"/>
    <s v="CUST0188"/>
    <n v="3614.6400000000003"/>
  </r>
  <r>
    <n v="198"/>
    <d v="2024-06-30T00:00:00"/>
    <s v="Laptop"/>
    <s v="Electronics"/>
    <n v="171.68"/>
    <n v="3"/>
    <n v="0.28999999999999998"/>
    <n v="0.38"/>
    <x v="1"/>
    <s v="CUST0070"/>
    <n v="515.04"/>
  </r>
  <r>
    <n v="199"/>
    <d v="2024-05-30T00:00:00"/>
    <s v="Headphones"/>
    <s v="Accessories"/>
    <n v="327.35000000000002"/>
    <n v="2"/>
    <n v="0"/>
    <n v="0.13"/>
    <x v="2"/>
    <s v="CUST0290"/>
    <n v="654.70000000000005"/>
  </r>
  <r>
    <n v="200"/>
    <d v="2024-03-22T00:00:00"/>
    <s v="Mouse"/>
    <s v="Accessories"/>
    <n v="1275.99"/>
    <n v="5"/>
    <n v="0.26"/>
    <n v="0.28999999999999998"/>
    <x v="2"/>
    <s v="CUST0156"/>
    <n v="6379.95"/>
  </r>
  <r>
    <n v="201"/>
    <d v="2024-07-13T00:00:00"/>
    <s v="Monitor"/>
    <s v="Electronics"/>
    <n v="1341.69"/>
    <n v="5"/>
    <n v="0.1"/>
    <n v="0.18"/>
    <x v="3"/>
    <s v="CUST0281"/>
    <n v="6708.4500000000007"/>
  </r>
  <r>
    <n v="202"/>
    <d v="2024-09-12T00:00:00"/>
    <s v="Mouse"/>
    <s v="Accessories"/>
    <n v="895.69"/>
    <n v="4"/>
    <n v="0.25"/>
    <n v="0.2"/>
    <x v="2"/>
    <s v="CUST0104"/>
    <n v="3582.76"/>
  </r>
  <r>
    <n v="203"/>
    <d v="2024-12-07T00:00:00"/>
    <s v="Headphones"/>
    <s v="Accessories"/>
    <n v="839.27"/>
    <n v="2"/>
    <n v="0.26"/>
    <n v="0.17"/>
    <x v="1"/>
    <s v="CUST0190"/>
    <n v="1678.54"/>
  </r>
  <r>
    <n v="204"/>
    <d v="2024-08-02T00:00:00"/>
    <s v="Tablet"/>
    <s v="Electronics"/>
    <n v="1175.1400000000001"/>
    <n v="1"/>
    <n v="0.26"/>
    <n v="0.25"/>
    <x v="1"/>
    <s v="CUST0265"/>
    <n v="1175.1400000000001"/>
  </r>
  <r>
    <n v="205"/>
    <d v="2024-01-09T00:00:00"/>
    <s v="Laptop"/>
    <s v="Electronics"/>
    <n v="1204.79"/>
    <n v="1"/>
    <n v="0.15"/>
    <n v="0.25"/>
    <x v="1"/>
    <s v="CUST0072"/>
    <n v="1204.79"/>
  </r>
  <r>
    <n v="206"/>
    <d v="2024-10-04T00:00:00"/>
    <s v="Monitor"/>
    <s v="Electronics"/>
    <n v="823.91"/>
    <n v="5"/>
    <n v="0.12"/>
    <n v="0.17"/>
    <x v="3"/>
    <s v="CUST0277"/>
    <n v="4119.55"/>
  </r>
  <r>
    <n v="207"/>
    <d v="2024-04-07T00:00:00"/>
    <s v="Tablet"/>
    <s v="Electronics"/>
    <n v="1256.52"/>
    <n v="4"/>
    <n v="0.04"/>
    <n v="0.37"/>
    <x v="3"/>
    <s v="CUST0051"/>
    <n v="5026.08"/>
  </r>
  <r>
    <n v="208"/>
    <d v="2024-02-11T00:00:00"/>
    <s v="Keyboard"/>
    <s v="Accessories"/>
    <n v="426.65"/>
    <n v="3"/>
    <n v="0.25"/>
    <n v="0.26"/>
    <x v="1"/>
    <s v="CUST0064"/>
    <n v="1279.9499999999998"/>
  </r>
  <r>
    <n v="209"/>
    <d v="2024-03-16T00:00:00"/>
    <s v="Laptop"/>
    <s v="Electronics"/>
    <n v="875.36"/>
    <n v="2"/>
    <n v="0.17"/>
    <n v="0.3"/>
    <x v="2"/>
    <s v="CUST0112"/>
    <n v="1750.72"/>
  </r>
  <r>
    <n v="210"/>
    <d v="2024-10-13T00:00:00"/>
    <s v="Keyboard"/>
    <s v="Accessories"/>
    <n v="329.47"/>
    <n v="2"/>
    <n v="0.04"/>
    <n v="0.18"/>
    <x v="1"/>
    <s v="CUST0246"/>
    <n v="658.94"/>
  </r>
  <r>
    <n v="211"/>
    <d v="2024-06-21T00:00:00"/>
    <s v="Laptop"/>
    <s v="Electronics"/>
    <n v="1313.99"/>
    <n v="2"/>
    <n v="0.18"/>
    <n v="0.3"/>
    <x v="3"/>
    <s v="CUST0102"/>
    <n v="2627.98"/>
  </r>
  <r>
    <n v="212"/>
    <d v="2024-03-04T00:00:00"/>
    <s v="Tablet"/>
    <s v="Electronics"/>
    <n v="1261.21"/>
    <n v="5"/>
    <n v="0.11"/>
    <n v="0.26"/>
    <x v="1"/>
    <s v="CUST0222"/>
    <n v="6306.05"/>
  </r>
  <r>
    <n v="213"/>
    <d v="2024-10-08T00:00:00"/>
    <s v="Laptop"/>
    <s v="Electronics"/>
    <n v="546.96"/>
    <n v="3"/>
    <n v="0.06"/>
    <n v="0.13"/>
    <x v="1"/>
    <s v="CUST0294"/>
    <n v="1640.88"/>
  </r>
  <r>
    <n v="214"/>
    <d v="2024-04-22T00:00:00"/>
    <s v="Laptop"/>
    <s v="Electronics"/>
    <n v="125.67"/>
    <n v="3"/>
    <n v="0.09"/>
    <n v="0.21"/>
    <x v="3"/>
    <s v="CUST0101"/>
    <n v="377.01"/>
  </r>
  <r>
    <n v="215"/>
    <d v="2024-05-31T00:00:00"/>
    <s v="Headphones"/>
    <s v="Accessories"/>
    <n v="1089.26"/>
    <n v="3"/>
    <n v="0.28000000000000003"/>
    <n v="0.22"/>
    <x v="1"/>
    <s v="CUST0066"/>
    <n v="3267.7799999999997"/>
  </r>
  <r>
    <n v="216"/>
    <d v="2024-08-26T00:00:00"/>
    <s v="Laptop"/>
    <s v="Electronics"/>
    <n v="1406.82"/>
    <n v="5"/>
    <n v="0.15"/>
    <n v="0.18"/>
    <x v="3"/>
    <s v="CUST0224"/>
    <n v="7034.0999999999995"/>
  </r>
  <r>
    <n v="217"/>
    <d v="2024-12-30T00:00:00"/>
    <s v="Monitor"/>
    <s v="Electronics"/>
    <n v="411.84"/>
    <n v="3"/>
    <n v="0.25"/>
    <n v="0.35"/>
    <x v="3"/>
    <s v="CUST0057"/>
    <n v="1235.52"/>
  </r>
  <r>
    <n v="218"/>
    <d v="2024-07-19T00:00:00"/>
    <s v="Tablet"/>
    <s v="Electronics"/>
    <n v="253.14"/>
    <n v="1"/>
    <n v="0.23"/>
    <n v="0.13"/>
    <x v="2"/>
    <s v="CUST0206"/>
    <n v="253.14"/>
  </r>
  <r>
    <n v="219"/>
    <d v="2024-02-11T00:00:00"/>
    <s v="Tablet"/>
    <s v="Electronics"/>
    <n v="543.52"/>
    <n v="1"/>
    <n v="0.15"/>
    <n v="0.31"/>
    <x v="3"/>
    <s v="CUST0094"/>
    <n v="543.52"/>
  </r>
  <r>
    <n v="220"/>
    <d v="2024-06-20T00:00:00"/>
    <s v="Mouse"/>
    <s v="Accessories"/>
    <n v="703.03"/>
    <n v="3"/>
    <n v="0.25"/>
    <n v="0.34"/>
    <x v="1"/>
    <s v="CUST0143"/>
    <n v="2109.09"/>
  </r>
  <r>
    <n v="221"/>
    <d v="2024-10-31T00:00:00"/>
    <s v="Monitor"/>
    <s v="Electronics"/>
    <n v="1452.36"/>
    <n v="2"/>
    <n v="0.03"/>
    <n v="0.19"/>
    <x v="1"/>
    <s v="CUST0080"/>
    <n v="2904.72"/>
  </r>
  <r>
    <n v="222"/>
    <d v="2024-01-12T00:00:00"/>
    <s v="Tablet"/>
    <s v="Electronics"/>
    <n v="226.81"/>
    <n v="2"/>
    <n v="0.21"/>
    <n v="0.26"/>
    <x v="2"/>
    <s v="CUST0182"/>
    <n v="453.62"/>
  </r>
  <r>
    <n v="223"/>
    <d v="2024-08-02T00:00:00"/>
    <s v="Tablet"/>
    <s v="Electronics"/>
    <n v="824.3"/>
    <n v="3"/>
    <n v="0.22"/>
    <n v="0.34"/>
    <x v="3"/>
    <s v="CUST0009"/>
    <n v="2472.8999999999996"/>
  </r>
  <r>
    <n v="224"/>
    <d v="2024-02-28T00:00:00"/>
    <s v="Laptop"/>
    <s v="Electronics"/>
    <n v="1093.05"/>
    <n v="1"/>
    <n v="0.27"/>
    <n v="0.28999999999999998"/>
    <x v="2"/>
    <s v="CUST0179"/>
    <n v="1093.05"/>
  </r>
  <r>
    <n v="225"/>
    <d v="2024-01-16T00:00:00"/>
    <s v="Monitor"/>
    <s v="Electronics"/>
    <n v="1481.81"/>
    <n v="5"/>
    <n v="0.2"/>
    <n v="0.11"/>
    <x v="2"/>
    <s v="CUST0258"/>
    <n v="7409.0499999999993"/>
  </r>
  <r>
    <n v="226"/>
    <d v="2024-09-26T00:00:00"/>
    <s v="Headphones"/>
    <s v="Accessories"/>
    <n v="1389.74"/>
    <n v="2"/>
    <n v="0.17"/>
    <n v="0.37"/>
    <x v="0"/>
    <s v="CUST0133"/>
    <n v="2779.48"/>
  </r>
  <r>
    <n v="227"/>
    <d v="2024-11-10T00:00:00"/>
    <s v="Mouse"/>
    <s v="Accessories"/>
    <n v="202.77"/>
    <n v="1"/>
    <n v="0.06"/>
    <n v="0.13"/>
    <x v="2"/>
    <s v="CUST0109"/>
    <n v="202.77"/>
  </r>
  <r>
    <n v="228"/>
    <d v="2024-04-12T00:00:00"/>
    <s v="Laptop"/>
    <s v="Electronics"/>
    <n v="1417.79"/>
    <n v="2"/>
    <n v="0.22"/>
    <n v="0.12"/>
    <x v="0"/>
    <s v="CUST0158"/>
    <n v="2835.58"/>
  </r>
  <r>
    <n v="229"/>
    <d v="2024-05-10T00:00:00"/>
    <s v="Monitor"/>
    <s v="Electronics"/>
    <n v="79.59"/>
    <n v="3"/>
    <n v="0.17"/>
    <n v="0.24"/>
    <x v="3"/>
    <s v="CUST0232"/>
    <n v="238.77"/>
  </r>
  <r>
    <n v="230"/>
    <d v="2024-01-15T00:00:00"/>
    <s v="Laptop"/>
    <s v="Electronics"/>
    <n v="1052.03"/>
    <n v="2"/>
    <n v="0.22"/>
    <n v="0.12"/>
    <x v="1"/>
    <s v="CUST0290"/>
    <n v="2104.06"/>
  </r>
  <r>
    <n v="231"/>
    <d v="2024-07-28T00:00:00"/>
    <s v="Mouse"/>
    <s v="Accessories"/>
    <n v="1210.8699999999999"/>
    <n v="4"/>
    <n v="0.24"/>
    <n v="0.2"/>
    <x v="1"/>
    <s v="CUST0080"/>
    <n v="4843.4799999999996"/>
  </r>
  <r>
    <n v="232"/>
    <d v="2024-11-06T00:00:00"/>
    <s v="Headphones"/>
    <s v="Accessories"/>
    <n v="792.25"/>
    <n v="5"/>
    <n v="0.18"/>
    <n v="0.17"/>
    <x v="0"/>
    <s v="CUST0144"/>
    <n v="3961.25"/>
  </r>
  <r>
    <n v="233"/>
    <d v="2024-05-20T00:00:00"/>
    <s v="Laptop"/>
    <s v="Electronics"/>
    <n v="706.37"/>
    <n v="2"/>
    <n v="0.01"/>
    <n v="0.36"/>
    <x v="3"/>
    <s v="CUST0130"/>
    <n v="1412.74"/>
  </r>
  <r>
    <n v="234"/>
    <d v="2024-01-29T00:00:00"/>
    <s v="Tablet"/>
    <s v="Electronics"/>
    <n v="591.35"/>
    <n v="3"/>
    <n v="0.02"/>
    <n v="0.1"/>
    <x v="3"/>
    <s v="CUST0128"/>
    <n v="1774.0500000000002"/>
  </r>
  <r>
    <n v="235"/>
    <d v="2024-09-28T00:00:00"/>
    <s v="Tablet"/>
    <s v="Electronics"/>
    <n v="1156.5999999999999"/>
    <n v="5"/>
    <n v="0.01"/>
    <n v="0.24"/>
    <x v="0"/>
    <s v="CUST0212"/>
    <n v="5783"/>
  </r>
  <r>
    <n v="236"/>
    <d v="2024-12-24T00:00:00"/>
    <s v="Laptop"/>
    <s v="Electronics"/>
    <n v="1313.67"/>
    <n v="1"/>
    <n v="0.23"/>
    <n v="0.23"/>
    <x v="3"/>
    <s v="CUST0174"/>
    <n v="1313.67"/>
  </r>
  <r>
    <n v="237"/>
    <d v="2024-05-21T00:00:00"/>
    <s v="Keyboard"/>
    <s v="Accessories"/>
    <n v="795.72"/>
    <n v="1"/>
    <n v="7.0000000000000007E-2"/>
    <n v="0.13"/>
    <x v="2"/>
    <s v="CUST0189"/>
    <n v="795.72"/>
  </r>
  <r>
    <n v="238"/>
    <d v="2024-06-01T00:00:00"/>
    <s v="Mouse"/>
    <s v="Accessories"/>
    <n v="463.08"/>
    <n v="2"/>
    <n v="0.09"/>
    <n v="0.17"/>
    <x v="3"/>
    <s v="CUST0233"/>
    <n v="926.16"/>
  </r>
  <r>
    <n v="239"/>
    <d v="2024-10-31T00:00:00"/>
    <s v="Mouse"/>
    <s v="Accessories"/>
    <n v="433.97"/>
    <n v="5"/>
    <n v="0.3"/>
    <n v="0.23"/>
    <x v="0"/>
    <s v="CUST0108"/>
    <n v="2169.8500000000004"/>
  </r>
  <r>
    <n v="240"/>
    <d v="2024-03-01T00:00:00"/>
    <s v="Keyboard"/>
    <s v="Accessories"/>
    <n v="602.65"/>
    <n v="4"/>
    <n v="7.0000000000000007E-2"/>
    <n v="0.38"/>
    <x v="1"/>
    <s v="CUST0058"/>
    <n v="2410.6"/>
  </r>
  <r>
    <n v="241"/>
    <d v="2024-10-28T00:00:00"/>
    <s v="Laptop"/>
    <s v="Electronics"/>
    <n v="407"/>
    <n v="4"/>
    <n v="0.13"/>
    <n v="0.36"/>
    <x v="3"/>
    <s v="CUST0208"/>
    <n v="1628"/>
  </r>
  <r>
    <n v="242"/>
    <d v="2024-09-16T00:00:00"/>
    <s v="Headphones"/>
    <s v="Accessories"/>
    <n v="911.18"/>
    <n v="5"/>
    <n v="0.3"/>
    <n v="0.32"/>
    <x v="0"/>
    <s v="CUST0252"/>
    <n v="4555.8999999999996"/>
  </r>
  <r>
    <n v="243"/>
    <d v="2024-08-30T00:00:00"/>
    <s v="Laptop"/>
    <s v="Electronics"/>
    <n v="366.72"/>
    <n v="4"/>
    <n v="0.25"/>
    <n v="0.17"/>
    <x v="3"/>
    <s v="CUST0031"/>
    <n v="1466.88"/>
  </r>
  <r>
    <n v="244"/>
    <d v="2024-08-28T00:00:00"/>
    <s v="Headphones"/>
    <s v="Accessories"/>
    <n v="781.22"/>
    <n v="2"/>
    <n v="0.01"/>
    <n v="0.22"/>
    <x v="2"/>
    <s v="CUST0192"/>
    <n v="1562.44"/>
  </r>
  <r>
    <n v="245"/>
    <d v="2024-06-25T00:00:00"/>
    <s v="Mouse"/>
    <s v="Accessories"/>
    <n v="1436.97"/>
    <n v="5"/>
    <n v="0.02"/>
    <n v="0.39"/>
    <x v="1"/>
    <s v="CUST0137"/>
    <n v="7184.85"/>
  </r>
  <r>
    <n v="246"/>
    <d v="2024-06-26T00:00:00"/>
    <s v="Monitor"/>
    <s v="Electronics"/>
    <n v="789.43"/>
    <n v="4"/>
    <n v="0.3"/>
    <n v="0.15"/>
    <x v="1"/>
    <s v="CUST0035"/>
    <n v="3157.72"/>
  </r>
  <r>
    <n v="247"/>
    <d v="2024-09-25T00:00:00"/>
    <s v="Monitor"/>
    <s v="Electronics"/>
    <n v="749.5"/>
    <n v="1"/>
    <n v="0.05"/>
    <n v="0.34"/>
    <x v="1"/>
    <s v="CUST0286"/>
    <n v="749.5"/>
  </r>
  <r>
    <n v="248"/>
    <d v="2024-04-07T00:00:00"/>
    <s v="Mouse"/>
    <s v="Accessories"/>
    <n v="355.13"/>
    <n v="1"/>
    <n v="0.18"/>
    <n v="0.27"/>
    <x v="3"/>
    <s v="CUST0245"/>
    <n v="355.13"/>
  </r>
  <r>
    <n v="249"/>
    <d v="2024-07-13T00:00:00"/>
    <s v="Tablet"/>
    <s v="Electronics"/>
    <n v="699.71"/>
    <n v="3"/>
    <n v="0.08"/>
    <n v="0.24"/>
    <x v="1"/>
    <s v="CUST0171"/>
    <n v="2099.13"/>
  </r>
  <r>
    <n v="250"/>
    <d v="2024-01-25T00:00:00"/>
    <s v="Mouse"/>
    <s v="Accessories"/>
    <n v="1434.59"/>
    <n v="4"/>
    <n v="0.01"/>
    <n v="0.2"/>
    <x v="0"/>
    <s v="CUST0220"/>
    <n v="5738.36"/>
  </r>
  <r>
    <n v="251"/>
    <d v="2024-02-07T00:00:00"/>
    <s v="Mouse"/>
    <s v="Accessories"/>
    <n v="837.51"/>
    <n v="3"/>
    <n v="0.08"/>
    <n v="0.18"/>
    <x v="3"/>
    <s v="CUST0110"/>
    <n v="2512.5299999999997"/>
  </r>
  <r>
    <n v="252"/>
    <d v="2024-02-06T00:00:00"/>
    <s v="Keyboard"/>
    <s v="Accessories"/>
    <n v="408.14"/>
    <n v="5"/>
    <n v="0.01"/>
    <n v="0.26"/>
    <x v="3"/>
    <s v="CUST0130"/>
    <n v="2040.6999999999998"/>
  </r>
  <r>
    <n v="253"/>
    <d v="2024-04-23T00:00:00"/>
    <s v="Mouse"/>
    <s v="Accessories"/>
    <n v="349.77"/>
    <n v="5"/>
    <n v="0.27"/>
    <n v="0.4"/>
    <x v="2"/>
    <s v="CUST0100"/>
    <n v="1748.85"/>
  </r>
  <r>
    <n v="254"/>
    <d v="2024-02-09T00:00:00"/>
    <s v="Monitor"/>
    <s v="Electronics"/>
    <n v="755.34"/>
    <n v="5"/>
    <n v="0.27"/>
    <n v="0.27"/>
    <x v="3"/>
    <s v="CUST0180"/>
    <n v="3776.7000000000003"/>
  </r>
  <r>
    <n v="255"/>
    <d v="2024-08-03T00:00:00"/>
    <s v="Headphones"/>
    <s v="Accessories"/>
    <n v="1025.07"/>
    <n v="3"/>
    <n v="0.26"/>
    <n v="0.32"/>
    <x v="1"/>
    <s v="CUST0223"/>
    <n v="3075.21"/>
  </r>
  <r>
    <n v="256"/>
    <d v="2024-06-17T00:00:00"/>
    <s v="Laptop"/>
    <s v="Electronics"/>
    <n v="1201.2"/>
    <n v="4"/>
    <n v="0.26"/>
    <n v="0.36"/>
    <x v="2"/>
    <s v="CUST0166"/>
    <n v="4804.8"/>
  </r>
  <r>
    <n v="257"/>
    <d v="2024-07-09T00:00:00"/>
    <s v="Monitor"/>
    <s v="Electronics"/>
    <n v="517.66"/>
    <n v="5"/>
    <n v="0.21"/>
    <n v="0.3"/>
    <x v="3"/>
    <s v="CUST0087"/>
    <n v="2588.2999999999997"/>
  </r>
  <r>
    <n v="258"/>
    <d v="2024-11-09T00:00:00"/>
    <s v="Mouse"/>
    <s v="Accessories"/>
    <n v="1056.01"/>
    <n v="4"/>
    <n v="0.05"/>
    <n v="0.36"/>
    <x v="0"/>
    <s v="CUST0249"/>
    <n v="4224.04"/>
  </r>
  <r>
    <n v="259"/>
    <d v="2024-06-06T00:00:00"/>
    <s v="Monitor"/>
    <s v="Electronics"/>
    <n v="711.57"/>
    <n v="2"/>
    <n v="0.04"/>
    <n v="0.2"/>
    <x v="2"/>
    <s v="CUST0046"/>
    <n v="1423.14"/>
  </r>
  <r>
    <n v="260"/>
    <d v="2024-01-12T00:00:00"/>
    <s v="Tablet"/>
    <s v="Electronics"/>
    <n v="1365.33"/>
    <n v="2"/>
    <n v="0.25"/>
    <n v="0.35"/>
    <x v="2"/>
    <s v="CUST0288"/>
    <n v="2730.66"/>
  </r>
  <r>
    <n v="261"/>
    <d v="2024-01-17T00:00:00"/>
    <s v="Keyboard"/>
    <s v="Accessories"/>
    <n v="34.42"/>
    <n v="5"/>
    <n v="0.19"/>
    <n v="0.39"/>
    <x v="3"/>
    <s v="CUST0201"/>
    <n v="172.10000000000002"/>
  </r>
  <r>
    <n v="262"/>
    <d v="2024-06-11T00:00:00"/>
    <s v="Mouse"/>
    <s v="Accessories"/>
    <n v="195.87"/>
    <n v="2"/>
    <n v="0.19"/>
    <n v="0.26"/>
    <x v="0"/>
    <s v="CUST0054"/>
    <n v="391.74"/>
  </r>
  <r>
    <n v="263"/>
    <d v="2024-08-11T00:00:00"/>
    <s v="Monitor"/>
    <s v="Electronics"/>
    <n v="214.46"/>
    <n v="3"/>
    <n v="0.23"/>
    <n v="0.26"/>
    <x v="2"/>
    <s v="CUST0217"/>
    <n v="643.38"/>
  </r>
  <r>
    <n v="264"/>
    <d v="2024-10-04T00:00:00"/>
    <s v="Tablet"/>
    <s v="Electronics"/>
    <n v="1264.18"/>
    <n v="4"/>
    <n v="0.19"/>
    <n v="0.38"/>
    <x v="0"/>
    <s v="CUST0196"/>
    <n v="5056.72"/>
  </r>
  <r>
    <n v="265"/>
    <d v="2024-01-17T00:00:00"/>
    <s v="Mouse"/>
    <s v="Accessories"/>
    <n v="1407.41"/>
    <n v="4"/>
    <n v="0.02"/>
    <n v="0.19"/>
    <x v="0"/>
    <s v="CUST0281"/>
    <n v="5629.64"/>
  </r>
  <r>
    <n v="266"/>
    <d v="2024-04-29T00:00:00"/>
    <s v="Headphones"/>
    <s v="Accessories"/>
    <n v="1162.2"/>
    <n v="1"/>
    <n v="0.17"/>
    <n v="0.2"/>
    <x v="3"/>
    <s v="CUST0214"/>
    <n v="1162.2"/>
  </r>
  <r>
    <n v="267"/>
    <d v="2024-07-22T00:00:00"/>
    <s v="Laptop"/>
    <s v="Electronics"/>
    <n v="92.47"/>
    <n v="2"/>
    <n v="0.3"/>
    <n v="0.3"/>
    <x v="1"/>
    <s v="CUST0011"/>
    <n v="184.94"/>
  </r>
  <r>
    <n v="268"/>
    <d v="2024-01-29T00:00:00"/>
    <s v="Tablet"/>
    <s v="Electronics"/>
    <n v="1130.74"/>
    <n v="3"/>
    <n v="0.18"/>
    <n v="0.22"/>
    <x v="3"/>
    <s v="CUST0274"/>
    <n v="3392.2200000000003"/>
  </r>
  <r>
    <n v="269"/>
    <d v="2024-08-13T00:00:00"/>
    <s v="Mouse"/>
    <s v="Accessories"/>
    <n v="57.63"/>
    <n v="3"/>
    <n v="0.08"/>
    <n v="0.1"/>
    <x v="2"/>
    <s v="CUST0071"/>
    <n v="172.89000000000001"/>
  </r>
  <r>
    <n v="270"/>
    <d v="2024-09-27T00:00:00"/>
    <s v="Tablet"/>
    <s v="Electronics"/>
    <n v="1495.76"/>
    <n v="1"/>
    <n v="0.03"/>
    <n v="0.36"/>
    <x v="1"/>
    <s v="CUST0256"/>
    <n v="1495.76"/>
  </r>
  <r>
    <n v="271"/>
    <d v="2024-06-23T00:00:00"/>
    <s v="Keyboard"/>
    <s v="Accessories"/>
    <n v="1197.3399999999999"/>
    <n v="5"/>
    <n v="0.09"/>
    <n v="0.35"/>
    <x v="3"/>
    <s v="CUST0077"/>
    <n v="5986.7"/>
  </r>
  <r>
    <n v="272"/>
    <d v="2024-08-23T00:00:00"/>
    <s v="Tablet"/>
    <s v="Electronics"/>
    <n v="1028.74"/>
    <n v="3"/>
    <n v="0.08"/>
    <n v="0.39"/>
    <x v="2"/>
    <s v="CUST0102"/>
    <n v="3086.2200000000003"/>
  </r>
  <r>
    <n v="273"/>
    <d v="2024-03-24T00:00:00"/>
    <s v="Monitor"/>
    <s v="Electronics"/>
    <n v="71.17"/>
    <n v="5"/>
    <n v="0.28000000000000003"/>
    <n v="0.23"/>
    <x v="2"/>
    <s v="CUST0262"/>
    <n v="355.85"/>
  </r>
  <r>
    <n v="274"/>
    <d v="2024-02-27T00:00:00"/>
    <s v="Mouse"/>
    <s v="Accessories"/>
    <n v="611.45000000000005"/>
    <n v="1"/>
    <n v="0.13"/>
    <n v="0.19"/>
    <x v="2"/>
    <s v="CUST0158"/>
    <n v="611.45000000000005"/>
  </r>
  <r>
    <n v="275"/>
    <d v="2024-10-07T00:00:00"/>
    <s v="Headphones"/>
    <s v="Accessories"/>
    <n v="1343.8"/>
    <n v="2"/>
    <n v="0.06"/>
    <n v="0.11"/>
    <x v="2"/>
    <s v="CUST0049"/>
    <n v="2687.6"/>
  </r>
  <r>
    <n v="276"/>
    <d v="2024-03-12T00:00:00"/>
    <s v="Tablet"/>
    <s v="Electronics"/>
    <n v="1079.51"/>
    <n v="2"/>
    <n v="0.26"/>
    <n v="0.24"/>
    <x v="1"/>
    <s v="CUST0075"/>
    <n v="2159.02"/>
  </r>
  <r>
    <n v="277"/>
    <d v="2024-03-19T00:00:00"/>
    <s v="Keyboard"/>
    <s v="Accessories"/>
    <n v="259.89"/>
    <n v="1"/>
    <n v="0.26"/>
    <n v="0.33"/>
    <x v="2"/>
    <s v="CUST0209"/>
    <n v="259.89"/>
  </r>
  <r>
    <n v="278"/>
    <d v="2024-06-29T00:00:00"/>
    <s v="Headphones"/>
    <s v="Accessories"/>
    <n v="694.2"/>
    <n v="2"/>
    <n v="0.23"/>
    <n v="0.28999999999999998"/>
    <x v="1"/>
    <s v="CUST0233"/>
    <n v="1388.4"/>
  </r>
  <r>
    <n v="279"/>
    <d v="2024-06-01T00:00:00"/>
    <s v="Laptop"/>
    <s v="Electronics"/>
    <n v="1369.96"/>
    <n v="2"/>
    <n v="0.18"/>
    <n v="0.34"/>
    <x v="2"/>
    <s v="CUST0025"/>
    <n v="2739.92"/>
  </r>
  <r>
    <n v="280"/>
    <d v="2024-01-09T00:00:00"/>
    <s v="Headphones"/>
    <s v="Accessories"/>
    <n v="26.82"/>
    <n v="1"/>
    <n v="0.18"/>
    <n v="0.17"/>
    <x v="2"/>
    <s v="CUST0179"/>
    <n v="26.82"/>
  </r>
  <r>
    <n v="281"/>
    <d v="2024-04-26T00:00:00"/>
    <s v="Headphones"/>
    <s v="Accessories"/>
    <n v="320.77"/>
    <n v="1"/>
    <n v="0.05"/>
    <n v="0.3"/>
    <x v="3"/>
    <s v="CUST0162"/>
    <n v="320.77"/>
  </r>
  <r>
    <n v="282"/>
    <d v="2024-10-03T00:00:00"/>
    <s v="Mouse"/>
    <s v="Accessories"/>
    <n v="895.64"/>
    <n v="3"/>
    <n v="0.3"/>
    <n v="0.14000000000000001"/>
    <x v="1"/>
    <s v="CUST0298"/>
    <n v="2686.92"/>
  </r>
  <r>
    <n v="283"/>
    <d v="2024-02-01T00:00:00"/>
    <s v="Monitor"/>
    <s v="Electronics"/>
    <n v="131.86000000000001"/>
    <n v="2"/>
    <n v="0.14000000000000001"/>
    <n v="0.28000000000000003"/>
    <x v="0"/>
    <s v="CUST0222"/>
    <n v="263.72000000000003"/>
  </r>
  <r>
    <n v="284"/>
    <d v="2024-09-23T00:00:00"/>
    <s v="Keyboard"/>
    <s v="Accessories"/>
    <n v="994.05"/>
    <n v="1"/>
    <n v="0.26"/>
    <n v="0.33"/>
    <x v="3"/>
    <s v="CUST0095"/>
    <n v="994.05"/>
  </r>
  <r>
    <n v="285"/>
    <d v="2024-06-08T00:00:00"/>
    <s v="Mouse"/>
    <s v="Accessories"/>
    <n v="733.75"/>
    <n v="1"/>
    <n v="7.0000000000000007E-2"/>
    <n v="0.4"/>
    <x v="2"/>
    <s v="CUST0258"/>
    <n v="733.75"/>
  </r>
  <r>
    <n v="286"/>
    <d v="2024-08-29T00:00:00"/>
    <s v="Mouse"/>
    <s v="Accessories"/>
    <n v="52.09"/>
    <n v="4"/>
    <n v="0.21"/>
    <n v="0.27"/>
    <x v="3"/>
    <s v="CUST0291"/>
    <n v="208.36"/>
  </r>
  <r>
    <n v="287"/>
    <d v="2024-03-17T00:00:00"/>
    <s v="Monitor"/>
    <s v="Electronics"/>
    <n v="506.53"/>
    <n v="2"/>
    <n v="0.16"/>
    <n v="0.36"/>
    <x v="0"/>
    <s v="CUST0010"/>
    <n v="1013.06"/>
  </r>
  <r>
    <n v="288"/>
    <d v="2024-05-01T00:00:00"/>
    <s v="Keyboard"/>
    <s v="Accessories"/>
    <n v="140.9"/>
    <n v="2"/>
    <n v="0.28999999999999998"/>
    <n v="0.16"/>
    <x v="0"/>
    <s v="CUST0087"/>
    <n v="281.8"/>
  </r>
  <r>
    <n v="289"/>
    <d v="2024-12-25T00:00:00"/>
    <s v="Keyboard"/>
    <s v="Accessories"/>
    <n v="1205.8699999999999"/>
    <n v="2"/>
    <n v="0.01"/>
    <n v="0.3"/>
    <x v="1"/>
    <s v="CUST0088"/>
    <n v="2411.7399999999998"/>
  </r>
  <r>
    <n v="290"/>
    <d v="2024-03-13T00:00:00"/>
    <s v="Tablet"/>
    <s v="Electronics"/>
    <n v="963.73"/>
    <n v="3"/>
    <n v="0.27"/>
    <n v="0.28000000000000003"/>
    <x v="3"/>
    <s v="CUST0122"/>
    <n v="2891.19"/>
  </r>
  <r>
    <n v="291"/>
    <d v="2024-06-26T00:00:00"/>
    <s v="Headphones"/>
    <s v="Accessories"/>
    <n v="101.66"/>
    <n v="1"/>
    <n v="0.21"/>
    <n v="0.36"/>
    <x v="3"/>
    <s v="CUST0198"/>
    <n v="101.66"/>
  </r>
  <r>
    <n v="292"/>
    <d v="2024-01-07T00:00:00"/>
    <s v="Mouse"/>
    <s v="Accessories"/>
    <n v="947.32"/>
    <n v="4"/>
    <n v="0.1"/>
    <n v="0.34"/>
    <x v="1"/>
    <s v="CUST0154"/>
    <n v="3789.28"/>
  </r>
  <r>
    <n v="293"/>
    <d v="2024-01-03T00:00:00"/>
    <s v="Laptop"/>
    <s v="Electronics"/>
    <n v="999.71"/>
    <n v="4"/>
    <n v="0.18"/>
    <n v="0.34"/>
    <x v="2"/>
    <s v="CUST0102"/>
    <n v="3998.84"/>
  </r>
  <r>
    <n v="294"/>
    <d v="2024-01-12T00:00:00"/>
    <s v="Headphones"/>
    <s v="Accessories"/>
    <n v="85.11"/>
    <n v="4"/>
    <n v="0.22"/>
    <n v="0.12"/>
    <x v="1"/>
    <s v="CUST0043"/>
    <n v="340.44"/>
  </r>
  <r>
    <n v="295"/>
    <d v="2024-05-26T00:00:00"/>
    <s v="Monitor"/>
    <s v="Electronics"/>
    <n v="389.48"/>
    <n v="5"/>
    <n v="0.14000000000000001"/>
    <n v="0.28000000000000003"/>
    <x v="3"/>
    <s v="CUST0146"/>
    <n v="1947.4"/>
  </r>
  <r>
    <n v="296"/>
    <d v="2024-11-04T00:00:00"/>
    <s v="Monitor"/>
    <s v="Electronics"/>
    <n v="1464.4"/>
    <n v="4"/>
    <n v="0.22"/>
    <n v="0.36"/>
    <x v="1"/>
    <s v="CUST0214"/>
    <n v="5857.6"/>
  </r>
  <r>
    <n v="297"/>
    <d v="2024-07-29T00:00:00"/>
    <s v="Tablet"/>
    <s v="Electronics"/>
    <n v="996.59"/>
    <n v="3"/>
    <n v="0.05"/>
    <n v="0.11"/>
    <x v="0"/>
    <s v="CUST0281"/>
    <n v="2989.77"/>
  </r>
  <r>
    <n v="298"/>
    <d v="2024-08-30T00:00:00"/>
    <s v="Mouse"/>
    <s v="Accessories"/>
    <n v="361.97"/>
    <n v="1"/>
    <n v="0.15"/>
    <n v="0.12"/>
    <x v="0"/>
    <s v="CUST0150"/>
    <n v="361.97"/>
  </r>
  <r>
    <n v="299"/>
    <d v="2024-11-27T00:00:00"/>
    <s v="Monitor"/>
    <s v="Electronics"/>
    <n v="1028.3399999999999"/>
    <n v="5"/>
    <n v="0.13"/>
    <n v="0.16"/>
    <x v="0"/>
    <s v="CUST0197"/>
    <n v="5141.7"/>
  </r>
  <r>
    <n v="300"/>
    <d v="2024-10-19T00:00:00"/>
    <s v="Laptop"/>
    <s v="Electronics"/>
    <n v="281.94"/>
    <n v="5"/>
    <n v="0.22"/>
    <n v="0.32"/>
    <x v="3"/>
    <s v="CUST0044"/>
    <n v="1409.7"/>
  </r>
  <r>
    <n v="301"/>
    <d v="2024-02-19T00:00:00"/>
    <s v="Tablet"/>
    <s v="Electronics"/>
    <n v="535.25"/>
    <n v="4"/>
    <n v="0.23"/>
    <n v="0.25"/>
    <x v="3"/>
    <s v="CUST0217"/>
    <n v="2141"/>
  </r>
  <r>
    <n v="302"/>
    <d v="2024-08-15T00:00:00"/>
    <s v="Mouse"/>
    <s v="Accessories"/>
    <n v="1303.8699999999999"/>
    <n v="1"/>
    <n v="0.13"/>
    <n v="0.32"/>
    <x v="2"/>
    <s v="CUST0046"/>
    <n v="1303.8699999999999"/>
  </r>
  <r>
    <n v="303"/>
    <d v="2024-08-30T00:00:00"/>
    <s v="Keyboard"/>
    <s v="Accessories"/>
    <n v="1313.3"/>
    <n v="2"/>
    <n v="0.24"/>
    <n v="0.3"/>
    <x v="2"/>
    <s v="CUST0101"/>
    <n v="2626.6"/>
  </r>
  <r>
    <n v="304"/>
    <d v="2024-02-09T00:00:00"/>
    <s v="Headphones"/>
    <s v="Accessories"/>
    <n v="898.72"/>
    <n v="5"/>
    <n v="0.06"/>
    <n v="0.28999999999999998"/>
    <x v="3"/>
    <s v="CUST0299"/>
    <n v="4493.6000000000004"/>
  </r>
  <r>
    <n v="305"/>
    <d v="2024-08-27T00:00:00"/>
    <s v="Keyboard"/>
    <s v="Accessories"/>
    <n v="1258.0999999999999"/>
    <n v="1"/>
    <n v="0.04"/>
    <n v="0.31"/>
    <x v="3"/>
    <s v="CUST0104"/>
    <n v="1258.0999999999999"/>
  </r>
  <r>
    <n v="306"/>
    <d v="2024-10-19T00:00:00"/>
    <s v="Monitor"/>
    <s v="Electronics"/>
    <n v="912.74"/>
    <n v="2"/>
    <n v="7.0000000000000007E-2"/>
    <n v="0.39"/>
    <x v="2"/>
    <s v="CUST0204"/>
    <n v="1825.48"/>
  </r>
  <r>
    <n v="307"/>
    <d v="2024-04-20T00:00:00"/>
    <s v="Keyboard"/>
    <s v="Accessories"/>
    <n v="1285.22"/>
    <n v="5"/>
    <n v="0.13"/>
    <n v="0.13"/>
    <x v="3"/>
    <s v="CUST0294"/>
    <n v="6426.1"/>
  </r>
  <r>
    <n v="308"/>
    <d v="2024-05-24T00:00:00"/>
    <s v="Keyboard"/>
    <s v="Accessories"/>
    <n v="899.55"/>
    <n v="1"/>
    <n v="0.2"/>
    <n v="0.13"/>
    <x v="1"/>
    <s v="CUST0112"/>
    <n v="899.55"/>
  </r>
  <r>
    <n v="309"/>
    <d v="2024-09-17T00:00:00"/>
    <s v="Monitor"/>
    <s v="Electronics"/>
    <n v="601.85"/>
    <n v="1"/>
    <n v="0.12"/>
    <n v="0.36"/>
    <x v="0"/>
    <s v="CUST0075"/>
    <n v="601.85"/>
  </r>
  <r>
    <n v="310"/>
    <d v="2024-10-29T00:00:00"/>
    <s v="Tablet"/>
    <s v="Electronics"/>
    <n v="504.66"/>
    <n v="4"/>
    <n v="0.04"/>
    <n v="0.39"/>
    <x v="3"/>
    <s v="CUST0094"/>
    <n v="2018.64"/>
  </r>
  <r>
    <n v="311"/>
    <d v="2024-04-02T00:00:00"/>
    <s v="Mouse"/>
    <s v="Accessories"/>
    <n v="371.14"/>
    <n v="2"/>
    <n v="0.02"/>
    <n v="0.15"/>
    <x v="3"/>
    <s v="CUST0123"/>
    <n v="742.28"/>
  </r>
  <r>
    <n v="312"/>
    <d v="2024-06-19T00:00:00"/>
    <s v="Tablet"/>
    <s v="Electronics"/>
    <n v="522.08000000000004"/>
    <n v="1"/>
    <n v="0.13"/>
    <n v="0.17"/>
    <x v="2"/>
    <s v="CUST0300"/>
    <n v="522.08000000000004"/>
  </r>
  <r>
    <n v="313"/>
    <d v="2024-04-30T00:00:00"/>
    <s v="Headphones"/>
    <s v="Accessories"/>
    <n v="1424.16"/>
    <n v="1"/>
    <n v="0.05"/>
    <n v="0.15"/>
    <x v="0"/>
    <s v="CUST0068"/>
    <n v="1424.16"/>
  </r>
  <r>
    <n v="314"/>
    <d v="2024-04-29T00:00:00"/>
    <s v="Keyboard"/>
    <s v="Accessories"/>
    <n v="918.17"/>
    <n v="5"/>
    <n v="0.16"/>
    <n v="0.33"/>
    <x v="0"/>
    <s v="CUST0170"/>
    <n v="4590.8499999999995"/>
  </r>
  <r>
    <n v="315"/>
    <d v="2024-09-07T00:00:00"/>
    <s v="Mouse"/>
    <s v="Accessories"/>
    <n v="1213.3599999999999"/>
    <n v="4"/>
    <n v="0.26"/>
    <n v="0.27"/>
    <x v="0"/>
    <s v="CUST0261"/>
    <n v="4853.4399999999996"/>
  </r>
  <r>
    <n v="316"/>
    <d v="2024-10-19T00:00:00"/>
    <s v="Headphones"/>
    <s v="Accessories"/>
    <n v="190.08"/>
    <n v="2"/>
    <n v="0.3"/>
    <n v="0.14000000000000001"/>
    <x v="0"/>
    <s v="CUST0228"/>
    <n v="380.16"/>
  </r>
  <r>
    <n v="317"/>
    <d v="2024-09-01T00:00:00"/>
    <s v="Keyboard"/>
    <s v="Accessories"/>
    <n v="1406.49"/>
    <n v="5"/>
    <n v="0.19"/>
    <n v="0.17"/>
    <x v="3"/>
    <s v="CUST0074"/>
    <n v="7032.45"/>
  </r>
  <r>
    <n v="318"/>
    <d v="2024-10-02T00:00:00"/>
    <s v="Monitor"/>
    <s v="Electronics"/>
    <n v="155.62"/>
    <n v="1"/>
    <n v="0.15"/>
    <n v="0.11"/>
    <x v="1"/>
    <s v="CUST0289"/>
    <n v="155.62"/>
  </r>
  <r>
    <n v="319"/>
    <d v="2024-11-01T00:00:00"/>
    <s v="Headphones"/>
    <s v="Accessories"/>
    <n v="1480.28"/>
    <n v="3"/>
    <n v="0"/>
    <n v="0.39"/>
    <x v="0"/>
    <s v="CUST0281"/>
    <n v="4440.84"/>
  </r>
  <r>
    <n v="320"/>
    <d v="2024-12-05T00:00:00"/>
    <s v="Keyboard"/>
    <s v="Accessories"/>
    <n v="1460.32"/>
    <n v="3"/>
    <n v="0.15"/>
    <n v="0.3"/>
    <x v="3"/>
    <s v="CUST0043"/>
    <n v="4380.96"/>
  </r>
  <r>
    <n v="321"/>
    <d v="2024-01-08T00:00:00"/>
    <s v="Laptop"/>
    <s v="Electronics"/>
    <n v="210.47"/>
    <n v="5"/>
    <n v="0.04"/>
    <n v="0.38"/>
    <x v="0"/>
    <s v="CUST0165"/>
    <n v="1052.3499999999999"/>
  </r>
  <r>
    <n v="322"/>
    <d v="2024-12-23T00:00:00"/>
    <s v="Mouse"/>
    <s v="Accessories"/>
    <n v="1455.62"/>
    <n v="1"/>
    <n v="0.22"/>
    <n v="0.15"/>
    <x v="2"/>
    <s v="CUST0110"/>
    <n v="1455.62"/>
  </r>
  <r>
    <n v="323"/>
    <d v="2024-04-23T00:00:00"/>
    <s v="Headphones"/>
    <s v="Accessories"/>
    <n v="1305.51"/>
    <n v="2"/>
    <n v="0.2"/>
    <n v="0.39"/>
    <x v="2"/>
    <s v="CUST0253"/>
    <n v="2611.02"/>
  </r>
  <r>
    <n v="324"/>
    <d v="2024-03-16T00:00:00"/>
    <s v="Monitor"/>
    <s v="Electronics"/>
    <n v="385.12"/>
    <n v="2"/>
    <n v="0.26"/>
    <n v="0.27"/>
    <x v="1"/>
    <s v="CUST0045"/>
    <n v="770.24"/>
  </r>
  <r>
    <n v="325"/>
    <d v="2024-05-26T00:00:00"/>
    <s v="Mouse"/>
    <s v="Accessories"/>
    <n v="191.84"/>
    <n v="1"/>
    <n v="0.21"/>
    <n v="0.3"/>
    <x v="2"/>
    <s v="CUST0006"/>
    <n v="191.84"/>
  </r>
  <r>
    <n v="326"/>
    <d v="2024-08-07T00:00:00"/>
    <s v="Monitor"/>
    <s v="Electronics"/>
    <n v="1412.79"/>
    <n v="5"/>
    <n v="0.2"/>
    <n v="0.27"/>
    <x v="3"/>
    <s v="CUST0015"/>
    <n v="7063.95"/>
  </r>
  <r>
    <n v="327"/>
    <d v="2024-09-25T00:00:00"/>
    <s v="Keyboard"/>
    <s v="Accessories"/>
    <n v="259.95"/>
    <n v="1"/>
    <n v="0.26"/>
    <n v="0.4"/>
    <x v="2"/>
    <s v="CUST0011"/>
    <n v="259.95"/>
  </r>
  <r>
    <n v="328"/>
    <d v="2024-04-07T00:00:00"/>
    <s v="Laptop"/>
    <s v="Electronics"/>
    <n v="1179.02"/>
    <n v="5"/>
    <n v="0.09"/>
    <n v="0.13"/>
    <x v="1"/>
    <s v="CUST0187"/>
    <n v="5895.1"/>
  </r>
  <r>
    <n v="329"/>
    <d v="2024-03-22T00:00:00"/>
    <s v="Headphones"/>
    <s v="Accessories"/>
    <n v="621.11"/>
    <n v="4"/>
    <n v="0.2"/>
    <n v="0.34"/>
    <x v="3"/>
    <s v="CUST0092"/>
    <n v="2484.44"/>
  </r>
  <r>
    <n v="330"/>
    <d v="2024-11-05T00:00:00"/>
    <s v="Tablet"/>
    <s v="Electronics"/>
    <n v="1319.89"/>
    <n v="3"/>
    <n v="0.26"/>
    <n v="0.21"/>
    <x v="3"/>
    <s v="CUST0032"/>
    <n v="3959.67"/>
  </r>
  <r>
    <n v="331"/>
    <d v="2024-07-17T00:00:00"/>
    <s v="Keyboard"/>
    <s v="Accessories"/>
    <n v="982.39"/>
    <n v="5"/>
    <n v="0.1"/>
    <n v="0.21"/>
    <x v="1"/>
    <s v="CUST0148"/>
    <n v="4911.95"/>
  </r>
  <r>
    <n v="332"/>
    <d v="2024-10-31T00:00:00"/>
    <s v="Monitor"/>
    <s v="Electronics"/>
    <n v="856.07"/>
    <n v="3"/>
    <n v="0.12"/>
    <n v="0.23"/>
    <x v="3"/>
    <s v="CUST0120"/>
    <n v="2568.21"/>
  </r>
  <r>
    <n v="333"/>
    <d v="2024-12-20T00:00:00"/>
    <s v="Tablet"/>
    <s v="Electronics"/>
    <n v="829.89"/>
    <n v="3"/>
    <n v="7.0000000000000007E-2"/>
    <n v="0.12"/>
    <x v="1"/>
    <s v="CUST0061"/>
    <n v="2489.67"/>
  </r>
  <r>
    <n v="334"/>
    <d v="2024-03-25T00:00:00"/>
    <s v="Headphones"/>
    <s v="Accessories"/>
    <n v="273.45999999999998"/>
    <n v="2"/>
    <n v="0.23"/>
    <n v="0.25"/>
    <x v="2"/>
    <s v="CUST0072"/>
    <n v="546.91999999999996"/>
  </r>
  <r>
    <n v="335"/>
    <d v="2024-06-02T00:00:00"/>
    <s v="Headphones"/>
    <s v="Accessories"/>
    <n v="1298.42"/>
    <n v="2"/>
    <n v="0.14000000000000001"/>
    <n v="0.11"/>
    <x v="1"/>
    <s v="CUST0059"/>
    <n v="2596.84"/>
  </r>
  <r>
    <n v="336"/>
    <d v="2024-10-26T00:00:00"/>
    <s v="Keyboard"/>
    <s v="Accessories"/>
    <n v="185.65"/>
    <n v="5"/>
    <n v="0.12"/>
    <n v="0.27"/>
    <x v="3"/>
    <s v="CUST0255"/>
    <n v="928.25"/>
  </r>
  <r>
    <n v="337"/>
    <d v="2024-12-29T00:00:00"/>
    <s v="Keyboard"/>
    <s v="Accessories"/>
    <n v="728.13"/>
    <n v="3"/>
    <n v="0.23"/>
    <n v="0.34"/>
    <x v="2"/>
    <s v="CUST0134"/>
    <n v="2184.39"/>
  </r>
  <r>
    <n v="338"/>
    <d v="2024-12-01T00:00:00"/>
    <s v="Keyboard"/>
    <s v="Accessories"/>
    <n v="1434.4"/>
    <n v="5"/>
    <n v="0.25"/>
    <n v="0.23"/>
    <x v="3"/>
    <s v="CUST0148"/>
    <n v="7172"/>
  </r>
  <r>
    <n v="339"/>
    <d v="2024-02-20T00:00:00"/>
    <s v="Tablet"/>
    <s v="Electronics"/>
    <n v="980.03"/>
    <n v="4"/>
    <n v="0.28999999999999998"/>
    <n v="0.3"/>
    <x v="1"/>
    <s v="CUST0150"/>
    <n v="3920.12"/>
  </r>
  <r>
    <n v="340"/>
    <d v="2024-11-29T00:00:00"/>
    <s v="Tablet"/>
    <s v="Electronics"/>
    <n v="113.89"/>
    <n v="5"/>
    <n v="0.14000000000000001"/>
    <n v="0.16"/>
    <x v="2"/>
    <s v="CUST0036"/>
    <n v="569.45000000000005"/>
  </r>
  <r>
    <n v="341"/>
    <d v="2024-08-26T00:00:00"/>
    <s v="Keyboard"/>
    <s v="Accessories"/>
    <n v="741.66"/>
    <n v="5"/>
    <n v="0.09"/>
    <n v="0.19"/>
    <x v="0"/>
    <s v="CUST0121"/>
    <n v="3708.2999999999997"/>
  </r>
  <r>
    <n v="342"/>
    <d v="2024-03-17T00:00:00"/>
    <s v="Headphones"/>
    <s v="Accessories"/>
    <n v="810.08"/>
    <n v="2"/>
    <n v="0.18"/>
    <n v="0.31"/>
    <x v="1"/>
    <s v="CUST0130"/>
    <n v="1620.16"/>
  </r>
  <r>
    <n v="343"/>
    <d v="2024-04-17T00:00:00"/>
    <s v="Mouse"/>
    <s v="Accessories"/>
    <n v="634.98"/>
    <n v="1"/>
    <n v="0.16"/>
    <n v="0.14000000000000001"/>
    <x v="2"/>
    <s v="CUST0155"/>
    <n v="634.98"/>
  </r>
  <r>
    <n v="344"/>
    <d v="2024-08-28T00:00:00"/>
    <s v="Tablet"/>
    <s v="Electronics"/>
    <n v="292.62"/>
    <n v="5"/>
    <n v="0.06"/>
    <n v="0.19"/>
    <x v="1"/>
    <s v="CUST0002"/>
    <n v="1463.1"/>
  </r>
  <r>
    <n v="345"/>
    <d v="2024-09-19T00:00:00"/>
    <s v="Mouse"/>
    <s v="Accessories"/>
    <n v="861.79"/>
    <n v="2"/>
    <n v="0.28000000000000003"/>
    <n v="0.23"/>
    <x v="2"/>
    <s v="CUST0091"/>
    <n v="1723.58"/>
  </r>
  <r>
    <n v="346"/>
    <d v="2024-05-20T00:00:00"/>
    <s v="Mouse"/>
    <s v="Accessories"/>
    <n v="1228.23"/>
    <n v="4"/>
    <n v="0.01"/>
    <n v="0.28999999999999998"/>
    <x v="2"/>
    <s v="CUST0263"/>
    <n v="4912.92"/>
  </r>
  <r>
    <n v="347"/>
    <d v="2024-01-09T00:00:00"/>
    <s v="Keyboard"/>
    <s v="Accessories"/>
    <n v="912.38"/>
    <n v="5"/>
    <n v="0.27"/>
    <n v="0.17"/>
    <x v="3"/>
    <s v="CUST0075"/>
    <n v="4561.8999999999996"/>
  </r>
  <r>
    <n v="348"/>
    <d v="2024-05-31T00:00:00"/>
    <s v="Tablet"/>
    <s v="Electronics"/>
    <n v="978.74"/>
    <n v="2"/>
    <n v="0.11"/>
    <n v="0.37"/>
    <x v="1"/>
    <s v="CUST0127"/>
    <n v="1957.48"/>
  </r>
  <r>
    <n v="349"/>
    <d v="2024-05-31T00:00:00"/>
    <s v="Monitor"/>
    <s v="Electronics"/>
    <n v="546.29999999999995"/>
    <n v="2"/>
    <n v="0.08"/>
    <n v="0.19"/>
    <x v="3"/>
    <s v="CUST0014"/>
    <n v="1092.5999999999999"/>
  </r>
  <r>
    <n v="350"/>
    <d v="2024-06-12T00:00:00"/>
    <s v="Monitor"/>
    <s v="Electronics"/>
    <n v="1238.3599999999999"/>
    <n v="4"/>
    <n v="0.2"/>
    <n v="0.34"/>
    <x v="0"/>
    <s v="CUST0018"/>
    <n v="4953.4399999999996"/>
  </r>
  <r>
    <n v="351"/>
    <d v="2024-04-17T00:00:00"/>
    <s v="Headphones"/>
    <s v="Accessories"/>
    <n v="245.81"/>
    <n v="2"/>
    <n v="0.05"/>
    <n v="0.17"/>
    <x v="3"/>
    <s v="CUST0043"/>
    <n v="491.62"/>
  </r>
  <r>
    <n v="352"/>
    <d v="2024-05-22T00:00:00"/>
    <s v="Tablet"/>
    <s v="Electronics"/>
    <n v="1297.6300000000001"/>
    <n v="5"/>
    <n v="0.03"/>
    <n v="0.11"/>
    <x v="2"/>
    <s v="CUST0053"/>
    <n v="6488.1500000000005"/>
  </r>
  <r>
    <n v="353"/>
    <d v="2024-09-10T00:00:00"/>
    <s v="Monitor"/>
    <s v="Electronics"/>
    <n v="364.61"/>
    <n v="3"/>
    <n v="7.0000000000000007E-2"/>
    <n v="0.22"/>
    <x v="2"/>
    <s v="CUST0197"/>
    <n v="1093.83"/>
  </r>
  <r>
    <n v="354"/>
    <d v="2024-02-11T00:00:00"/>
    <s v="Tablet"/>
    <s v="Electronics"/>
    <n v="234.12"/>
    <n v="3"/>
    <n v="0.18"/>
    <n v="0.3"/>
    <x v="1"/>
    <s v="CUST0017"/>
    <n v="702.36"/>
  </r>
  <r>
    <n v="355"/>
    <d v="2024-07-06T00:00:00"/>
    <s v="Laptop"/>
    <s v="Electronics"/>
    <n v="656.59"/>
    <n v="1"/>
    <n v="0.21"/>
    <n v="0.4"/>
    <x v="1"/>
    <s v="CUST0090"/>
    <n v="656.59"/>
  </r>
  <r>
    <n v="356"/>
    <d v="2024-06-15T00:00:00"/>
    <s v="Headphones"/>
    <s v="Accessories"/>
    <n v="1232.5899999999999"/>
    <n v="4"/>
    <n v="0.22"/>
    <n v="0.27"/>
    <x v="1"/>
    <s v="CUST0116"/>
    <n v="4930.3599999999997"/>
  </r>
  <r>
    <n v="357"/>
    <d v="2024-03-13T00:00:00"/>
    <s v="Laptop"/>
    <s v="Electronics"/>
    <n v="1164.6199999999999"/>
    <n v="4"/>
    <n v="0.03"/>
    <n v="0.37"/>
    <x v="0"/>
    <s v="CUST0029"/>
    <n v="4658.4799999999996"/>
  </r>
  <r>
    <n v="358"/>
    <d v="2024-09-25T00:00:00"/>
    <s v="Headphones"/>
    <s v="Accessories"/>
    <n v="501.97"/>
    <n v="3"/>
    <n v="0.1"/>
    <n v="0.28999999999999998"/>
    <x v="0"/>
    <s v="CUST0178"/>
    <n v="1505.91"/>
  </r>
  <r>
    <n v="359"/>
    <d v="2024-06-08T00:00:00"/>
    <s v="Headphones"/>
    <s v="Accessories"/>
    <n v="790.61"/>
    <n v="2"/>
    <n v="0.2"/>
    <n v="0.12"/>
    <x v="3"/>
    <s v="CUST0227"/>
    <n v="1581.22"/>
  </r>
  <r>
    <n v="360"/>
    <d v="2024-02-27T00:00:00"/>
    <s v="Laptop"/>
    <s v="Electronics"/>
    <n v="821.52"/>
    <n v="2"/>
    <n v="0.2"/>
    <n v="0.17"/>
    <x v="1"/>
    <s v="CUST0040"/>
    <n v="1643.04"/>
  </r>
  <r>
    <n v="361"/>
    <d v="2024-07-27T00:00:00"/>
    <s v="Keyboard"/>
    <s v="Accessories"/>
    <n v="516.17999999999995"/>
    <n v="2"/>
    <n v="0.3"/>
    <n v="0.3"/>
    <x v="2"/>
    <s v="CUST0178"/>
    <n v="1032.3599999999999"/>
  </r>
  <r>
    <n v="362"/>
    <d v="2024-02-05T00:00:00"/>
    <s v="Keyboard"/>
    <s v="Accessories"/>
    <n v="1493.33"/>
    <n v="4"/>
    <n v="0.02"/>
    <n v="0.27"/>
    <x v="3"/>
    <s v="CUST0231"/>
    <n v="5973.32"/>
  </r>
  <r>
    <n v="363"/>
    <d v="2024-07-26T00:00:00"/>
    <s v="Monitor"/>
    <s v="Electronics"/>
    <n v="1443.46"/>
    <n v="5"/>
    <n v="0.21"/>
    <n v="0.16"/>
    <x v="3"/>
    <s v="CUST0014"/>
    <n v="7217.3"/>
  </r>
  <r>
    <n v="364"/>
    <d v="2024-05-15T00:00:00"/>
    <s v="Keyboard"/>
    <s v="Accessories"/>
    <n v="628.98"/>
    <n v="1"/>
    <n v="0.25"/>
    <n v="0.1"/>
    <x v="2"/>
    <s v="CUST0049"/>
    <n v="628.98"/>
  </r>
  <r>
    <n v="365"/>
    <d v="2024-04-27T00:00:00"/>
    <s v="Tablet"/>
    <s v="Electronics"/>
    <n v="1198.29"/>
    <n v="5"/>
    <n v="0.04"/>
    <n v="0.39"/>
    <x v="2"/>
    <s v="CUST0167"/>
    <n v="5991.45"/>
  </r>
  <r>
    <n v="366"/>
    <d v="2024-03-24T00:00:00"/>
    <s v="Mouse"/>
    <s v="Accessories"/>
    <n v="1488.91"/>
    <n v="4"/>
    <n v="7.0000000000000007E-2"/>
    <n v="0.3"/>
    <x v="0"/>
    <s v="CUST0012"/>
    <n v="5955.64"/>
  </r>
  <r>
    <n v="367"/>
    <d v="2024-09-28T00:00:00"/>
    <s v="Headphones"/>
    <s v="Accessories"/>
    <n v="944.79"/>
    <n v="2"/>
    <n v="0.24"/>
    <n v="0.36"/>
    <x v="3"/>
    <s v="CUST0131"/>
    <n v="1889.58"/>
  </r>
  <r>
    <n v="368"/>
    <d v="2024-05-30T00:00:00"/>
    <s v="Mouse"/>
    <s v="Accessories"/>
    <n v="772.59"/>
    <n v="4"/>
    <n v="0.21"/>
    <n v="0.11"/>
    <x v="3"/>
    <s v="CUST0006"/>
    <n v="3090.36"/>
  </r>
  <r>
    <n v="369"/>
    <d v="2024-09-05T00:00:00"/>
    <s v="Mouse"/>
    <s v="Accessories"/>
    <n v="413.09"/>
    <n v="2"/>
    <n v="0.11"/>
    <n v="0.2"/>
    <x v="2"/>
    <s v="CUST0061"/>
    <n v="826.18"/>
  </r>
  <r>
    <n v="370"/>
    <d v="2024-06-02T00:00:00"/>
    <s v="Keyboard"/>
    <s v="Accessories"/>
    <n v="841.86"/>
    <n v="3"/>
    <n v="0.25"/>
    <n v="0.18"/>
    <x v="0"/>
    <s v="CUST0069"/>
    <n v="2525.58"/>
  </r>
  <r>
    <n v="371"/>
    <d v="2024-11-11T00:00:00"/>
    <s v="Laptop"/>
    <s v="Electronics"/>
    <n v="910.88"/>
    <n v="3"/>
    <n v="0.24"/>
    <n v="0.27"/>
    <x v="2"/>
    <s v="CUST0205"/>
    <n v="2732.64"/>
  </r>
  <r>
    <n v="372"/>
    <d v="2024-06-14T00:00:00"/>
    <s v="Headphones"/>
    <s v="Accessories"/>
    <n v="1280.8499999999999"/>
    <n v="2"/>
    <n v="0.15"/>
    <n v="0.22"/>
    <x v="3"/>
    <s v="CUST0032"/>
    <n v="2561.6999999999998"/>
  </r>
  <r>
    <n v="373"/>
    <d v="2024-05-13T00:00:00"/>
    <s v="Tablet"/>
    <s v="Electronics"/>
    <n v="1230.74"/>
    <n v="3"/>
    <n v="0.2"/>
    <n v="0.26"/>
    <x v="0"/>
    <s v="CUST0172"/>
    <n v="3692.2200000000003"/>
  </r>
  <r>
    <n v="374"/>
    <d v="2024-06-11T00:00:00"/>
    <s v="Monitor"/>
    <s v="Electronics"/>
    <n v="233.39"/>
    <n v="4"/>
    <n v="0.25"/>
    <n v="0.2"/>
    <x v="1"/>
    <s v="CUST0060"/>
    <n v="933.56"/>
  </r>
  <r>
    <n v="375"/>
    <d v="2024-09-12T00:00:00"/>
    <s v="Tablet"/>
    <s v="Electronics"/>
    <n v="280.95"/>
    <n v="2"/>
    <n v="7.0000000000000007E-2"/>
    <n v="0.39"/>
    <x v="2"/>
    <s v="CUST0157"/>
    <n v="561.9"/>
  </r>
  <r>
    <n v="376"/>
    <d v="2024-06-12T00:00:00"/>
    <s v="Keyboard"/>
    <s v="Accessories"/>
    <n v="1400.78"/>
    <n v="2"/>
    <n v="0.04"/>
    <n v="0.36"/>
    <x v="1"/>
    <s v="CUST0087"/>
    <n v="2801.56"/>
  </r>
  <r>
    <n v="377"/>
    <d v="2024-01-25T00:00:00"/>
    <s v="Mouse"/>
    <s v="Accessories"/>
    <n v="919.4"/>
    <n v="1"/>
    <n v="0.18"/>
    <n v="0.33"/>
    <x v="0"/>
    <s v="CUST0284"/>
    <n v="919.4"/>
  </r>
  <r>
    <n v="378"/>
    <d v="2024-01-25T00:00:00"/>
    <s v="Mouse"/>
    <s v="Accessories"/>
    <n v="1007.8"/>
    <n v="2"/>
    <n v="0.02"/>
    <n v="0.11"/>
    <x v="3"/>
    <s v="CUST0181"/>
    <n v="2015.6"/>
  </r>
  <r>
    <n v="379"/>
    <d v="2024-04-05T00:00:00"/>
    <s v="Laptop"/>
    <s v="Electronics"/>
    <n v="368.01"/>
    <n v="5"/>
    <n v="0.16"/>
    <n v="0.39"/>
    <x v="1"/>
    <s v="CUST0282"/>
    <n v="1840.05"/>
  </r>
  <r>
    <n v="380"/>
    <d v="2024-06-08T00:00:00"/>
    <s v="Laptop"/>
    <s v="Electronics"/>
    <n v="901.58"/>
    <n v="4"/>
    <n v="0.13"/>
    <n v="0.13"/>
    <x v="1"/>
    <s v="CUST0036"/>
    <n v="3606.32"/>
  </r>
  <r>
    <n v="381"/>
    <d v="2024-01-05T00:00:00"/>
    <s v="Headphones"/>
    <s v="Accessories"/>
    <n v="343.66"/>
    <n v="2"/>
    <n v="0.2"/>
    <n v="0.15"/>
    <x v="1"/>
    <s v="CUST0028"/>
    <n v="687.32"/>
  </r>
  <r>
    <n v="382"/>
    <d v="2024-06-26T00:00:00"/>
    <s v="Monitor"/>
    <s v="Electronics"/>
    <n v="1176.6199999999999"/>
    <n v="2"/>
    <n v="0.06"/>
    <n v="0.25"/>
    <x v="1"/>
    <s v="CUST0098"/>
    <n v="2353.2399999999998"/>
  </r>
  <r>
    <n v="383"/>
    <d v="2024-05-28T00:00:00"/>
    <s v="Headphones"/>
    <s v="Accessories"/>
    <n v="110.23"/>
    <n v="1"/>
    <n v="0.13"/>
    <n v="0.15"/>
    <x v="3"/>
    <s v="CUST0143"/>
    <n v="110.23"/>
  </r>
  <r>
    <n v="384"/>
    <d v="2024-04-06T00:00:00"/>
    <s v="Headphones"/>
    <s v="Accessories"/>
    <n v="204.04"/>
    <n v="3"/>
    <n v="0.05"/>
    <n v="0.31"/>
    <x v="0"/>
    <s v="CUST0187"/>
    <n v="612.12"/>
  </r>
  <r>
    <n v="385"/>
    <d v="2024-08-08T00:00:00"/>
    <s v="Keyboard"/>
    <s v="Accessories"/>
    <n v="776.4"/>
    <n v="1"/>
    <n v="7.0000000000000007E-2"/>
    <n v="0.17"/>
    <x v="3"/>
    <s v="CUST0252"/>
    <n v="776.4"/>
  </r>
  <r>
    <n v="386"/>
    <d v="2024-04-25T00:00:00"/>
    <s v="Mouse"/>
    <s v="Accessories"/>
    <n v="945.25"/>
    <n v="4"/>
    <n v="0.25"/>
    <n v="0.32"/>
    <x v="3"/>
    <s v="CUST0001"/>
    <n v="3781"/>
  </r>
  <r>
    <n v="387"/>
    <d v="2024-01-14T00:00:00"/>
    <s v="Keyboard"/>
    <s v="Accessories"/>
    <n v="622.08000000000004"/>
    <n v="5"/>
    <n v="0.11"/>
    <n v="0.26"/>
    <x v="3"/>
    <s v="CUST0253"/>
    <n v="3110.4"/>
  </r>
  <r>
    <n v="388"/>
    <d v="2024-03-02T00:00:00"/>
    <s v="Mouse"/>
    <s v="Accessories"/>
    <n v="285.91000000000003"/>
    <n v="5"/>
    <n v="0.23"/>
    <n v="0.1"/>
    <x v="1"/>
    <s v="CUST0285"/>
    <n v="1429.5500000000002"/>
  </r>
  <r>
    <n v="389"/>
    <d v="2024-03-05T00:00:00"/>
    <s v="Mouse"/>
    <s v="Accessories"/>
    <n v="734.98"/>
    <n v="5"/>
    <n v="0.23"/>
    <n v="0.14000000000000001"/>
    <x v="0"/>
    <s v="CUST0149"/>
    <n v="3674.9"/>
  </r>
  <r>
    <n v="390"/>
    <d v="2024-12-03T00:00:00"/>
    <s v="Monitor"/>
    <s v="Electronics"/>
    <n v="502.16"/>
    <n v="2"/>
    <n v="7.0000000000000007E-2"/>
    <n v="0.39"/>
    <x v="3"/>
    <s v="CUST0135"/>
    <n v="1004.32"/>
  </r>
  <r>
    <n v="391"/>
    <d v="2024-07-09T00:00:00"/>
    <s v="Laptop"/>
    <s v="Electronics"/>
    <n v="120.31"/>
    <n v="4"/>
    <n v="0.11"/>
    <n v="0.18"/>
    <x v="2"/>
    <s v="CUST0279"/>
    <n v="481.24"/>
  </r>
  <r>
    <n v="392"/>
    <d v="2024-02-21T00:00:00"/>
    <s v="Mouse"/>
    <s v="Accessories"/>
    <n v="761.52"/>
    <n v="5"/>
    <n v="0.15"/>
    <n v="0.15"/>
    <x v="2"/>
    <s v="CUST0131"/>
    <n v="3807.6"/>
  </r>
  <r>
    <n v="393"/>
    <d v="2024-02-11T00:00:00"/>
    <s v="Keyboard"/>
    <s v="Accessories"/>
    <n v="384.13"/>
    <n v="2"/>
    <n v="0.14000000000000001"/>
    <n v="0.21"/>
    <x v="0"/>
    <s v="CUST0239"/>
    <n v="768.26"/>
  </r>
  <r>
    <n v="394"/>
    <d v="2024-04-29T00:00:00"/>
    <s v="Keyboard"/>
    <s v="Accessories"/>
    <n v="1182.9000000000001"/>
    <n v="5"/>
    <n v="0.04"/>
    <n v="0.13"/>
    <x v="1"/>
    <s v="CUST0073"/>
    <n v="5914.5"/>
  </r>
  <r>
    <n v="395"/>
    <d v="2024-04-06T00:00:00"/>
    <s v="Mouse"/>
    <s v="Accessories"/>
    <n v="490.23"/>
    <n v="1"/>
    <n v="0.24"/>
    <n v="0.12"/>
    <x v="1"/>
    <s v="CUST0128"/>
    <n v="490.23"/>
  </r>
  <r>
    <n v="396"/>
    <d v="2024-10-10T00:00:00"/>
    <s v="Headphones"/>
    <s v="Accessories"/>
    <n v="1265.29"/>
    <n v="2"/>
    <n v="0.08"/>
    <n v="0.33"/>
    <x v="1"/>
    <s v="CUST0288"/>
    <n v="2530.58"/>
  </r>
  <r>
    <n v="397"/>
    <d v="2024-03-19T00:00:00"/>
    <s v="Headphones"/>
    <s v="Accessories"/>
    <n v="964.87"/>
    <n v="2"/>
    <n v="0.12"/>
    <n v="0.24"/>
    <x v="1"/>
    <s v="CUST0062"/>
    <n v="1929.74"/>
  </r>
  <r>
    <n v="398"/>
    <d v="2024-03-27T00:00:00"/>
    <s v="Tablet"/>
    <s v="Electronics"/>
    <n v="1336.85"/>
    <n v="5"/>
    <n v="0.05"/>
    <n v="0.32"/>
    <x v="0"/>
    <s v="CUST0292"/>
    <n v="6684.25"/>
  </r>
  <r>
    <n v="399"/>
    <d v="2024-04-18T00:00:00"/>
    <s v="Tablet"/>
    <s v="Electronics"/>
    <n v="1028.3399999999999"/>
    <n v="5"/>
    <n v="0.01"/>
    <n v="0.32"/>
    <x v="3"/>
    <s v="CUST0195"/>
    <n v="5141.7"/>
  </r>
  <r>
    <n v="400"/>
    <d v="2024-10-03T00:00:00"/>
    <s v="Keyboard"/>
    <s v="Accessories"/>
    <n v="1208.1400000000001"/>
    <n v="3"/>
    <n v="0"/>
    <n v="0.39"/>
    <x v="3"/>
    <s v="CUST0230"/>
    <n v="3624.42"/>
  </r>
  <r>
    <n v="401"/>
    <d v="2024-01-28T00:00:00"/>
    <s v="Mouse"/>
    <s v="Accessories"/>
    <n v="596.70000000000005"/>
    <n v="4"/>
    <n v="0.1"/>
    <n v="0.33"/>
    <x v="0"/>
    <s v="CUST0262"/>
    <n v="2386.8000000000002"/>
  </r>
  <r>
    <n v="402"/>
    <d v="2024-12-17T00:00:00"/>
    <s v="Tablet"/>
    <s v="Electronics"/>
    <n v="548.39"/>
    <n v="2"/>
    <n v="0.03"/>
    <n v="0.3"/>
    <x v="1"/>
    <s v="CUST0066"/>
    <n v="1096.78"/>
  </r>
  <r>
    <n v="403"/>
    <d v="2024-08-07T00:00:00"/>
    <s v="Mouse"/>
    <s v="Accessories"/>
    <n v="126.35"/>
    <n v="2"/>
    <n v="0.01"/>
    <n v="0.12"/>
    <x v="3"/>
    <s v="CUST0174"/>
    <n v="252.7"/>
  </r>
  <r>
    <n v="404"/>
    <d v="2024-02-18T00:00:00"/>
    <s v="Laptop"/>
    <s v="Electronics"/>
    <n v="1350.88"/>
    <n v="1"/>
    <n v="0.28999999999999998"/>
    <n v="0.3"/>
    <x v="2"/>
    <s v="CUST0225"/>
    <n v="1350.88"/>
  </r>
  <r>
    <n v="405"/>
    <d v="2024-04-28T00:00:00"/>
    <s v="Laptop"/>
    <s v="Electronics"/>
    <n v="401.73"/>
    <n v="4"/>
    <n v="0.23"/>
    <n v="0.28999999999999998"/>
    <x v="3"/>
    <s v="CUST0095"/>
    <n v="1606.92"/>
  </r>
  <r>
    <n v="406"/>
    <d v="2024-12-12T00:00:00"/>
    <s v="Mouse"/>
    <s v="Accessories"/>
    <n v="86.88"/>
    <n v="2"/>
    <n v="0.1"/>
    <n v="0.14000000000000001"/>
    <x v="1"/>
    <s v="CUST0260"/>
    <n v="173.76"/>
  </r>
  <r>
    <n v="407"/>
    <d v="2024-10-14T00:00:00"/>
    <s v="Mouse"/>
    <s v="Accessories"/>
    <n v="1470.46"/>
    <n v="5"/>
    <n v="0.17"/>
    <n v="0.32"/>
    <x v="1"/>
    <s v="CUST0285"/>
    <n v="7352.3"/>
  </r>
  <r>
    <n v="408"/>
    <d v="2024-07-01T00:00:00"/>
    <s v="Tablet"/>
    <s v="Electronics"/>
    <n v="934.34"/>
    <n v="2"/>
    <n v="0.04"/>
    <n v="0.2"/>
    <x v="0"/>
    <s v="CUST0050"/>
    <n v="1868.68"/>
  </r>
  <r>
    <n v="409"/>
    <d v="2024-04-23T00:00:00"/>
    <s v="Laptop"/>
    <s v="Electronics"/>
    <n v="165.14"/>
    <n v="3"/>
    <n v="0.17"/>
    <n v="0.22"/>
    <x v="2"/>
    <s v="CUST0242"/>
    <n v="495.41999999999996"/>
  </r>
  <r>
    <n v="410"/>
    <d v="2024-06-22T00:00:00"/>
    <s v="Mouse"/>
    <s v="Accessories"/>
    <n v="1416.04"/>
    <n v="4"/>
    <n v="0.04"/>
    <n v="0.16"/>
    <x v="3"/>
    <s v="CUST0186"/>
    <n v="5664.16"/>
  </r>
  <r>
    <n v="411"/>
    <d v="2024-04-28T00:00:00"/>
    <s v="Tablet"/>
    <s v="Electronics"/>
    <n v="43.75"/>
    <n v="5"/>
    <n v="0.09"/>
    <n v="0.34"/>
    <x v="0"/>
    <s v="CUST0246"/>
    <n v="218.75"/>
  </r>
  <r>
    <n v="412"/>
    <d v="2024-05-28T00:00:00"/>
    <s v="Monitor"/>
    <s v="Electronics"/>
    <n v="1321.92"/>
    <n v="4"/>
    <n v="0.28000000000000003"/>
    <n v="0.18"/>
    <x v="1"/>
    <s v="CUST0065"/>
    <n v="5287.68"/>
  </r>
  <r>
    <n v="413"/>
    <d v="2024-05-29T00:00:00"/>
    <s v="Headphones"/>
    <s v="Accessories"/>
    <n v="1468.14"/>
    <n v="4"/>
    <n v="0.02"/>
    <n v="0.2"/>
    <x v="0"/>
    <s v="CUST0173"/>
    <n v="5872.56"/>
  </r>
  <r>
    <n v="414"/>
    <d v="2024-01-29T00:00:00"/>
    <s v="Monitor"/>
    <s v="Electronics"/>
    <n v="1477.39"/>
    <n v="4"/>
    <n v="0.01"/>
    <n v="0.15"/>
    <x v="1"/>
    <s v="CUST0142"/>
    <n v="5909.56"/>
  </r>
  <r>
    <n v="415"/>
    <d v="2024-03-28T00:00:00"/>
    <s v="Mouse"/>
    <s v="Accessories"/>
    <n v="1035.81"/>
    <n v="4"/>
    <n v="0.25"/>
    <n v="0.16"/>
    <x v="0"/>
    <s v="CUST0025"/>
    <n v="4143.24"/>
  </r>
  <r>
    <n v="416"/>
    <d v="2024-01-03T00:00:00"/>
    <s v="Keyboard"/>
    <s v="Accessories"/>
    <n v="530.02"/>
    <n v="3"/>
    <n v="0.23"/>
    <n v="0.32"/>
    <x v="3"/>
    <s v="CUST0124"/>
    <n v="1590.06"/>
  </r>
  <r>
    <n v="417"/>
    <d v="2024-04-17T00:00:00"/>
    <s v="Mouse"/>
    <s v="Accessories"/>
    <n v="463.88"/>
    <n v="3"/>
    <n v="0.05"/>
    <n v="0.13"/>
    <x v="0"/>
    <s v="CUST0107"/>
    <n v="1391.6399999999999"/>
  </r>
  <r>
    <n v="418"/>
    <d v="2024-05-23T00:00:00"/>
    <s v="Headphones"/>
    <s v="Accessories"/>
    <n v="963.53"/>
    <n v="5"/>
    <n v="0.05"/>
    <n v="0.24"/>
    <x v="0"/>
    <s v="CUST0186"/>
    <n v="4817.6499999999996"/>
  </r>
  <r>
    <n v="419"/>
    <d v="2024-04-13T00:00:00"/>
    <s v="Keyboard"/>
    <s v="Accessories"/>
    <n v="1222.33"/>
    <n v="4"/>
    <n v="0.22"/>
    <n v="0.4"/>
    <x v="1"/>
    <s v="CUST0193"/>
    <n v="4889.32"/>
  </r>
  <r>
    <n v="420"/>
    <d v="2024-10-28T00:00:00"/>
    <s v="Keyboard"/>
    <s v="Accessories"/>
    <n v="311.08"/>
    <n v="2"/>
    <n v="0.2"/>
    <n v="0.19"/>
    <x v="3"/>
    <s v="CUST0018"/>
    <n v="622.16"/>
  </r>
  <r>
    <n v="421"/>
    <d v="2024-03-26T00:00:00"/>
    <s v="Mouse"/>
    <s v="Accessories"/>
    <n v="933.58"/>
    <n v="3"/>
    <n v="0.21"/>
    <n v="0.21"/>
    <x v="1"/>
    <s v="CUST0145"/>
    <n v="2800.7400000000002"/>
  </r>
  <r>
    <n v="422"/>
    <d v="2024-01-14T00:00:00"/>
    <s v="Laptop"/>
    <s v="Electronics"/>
    <n v="1275.8699999999999"/>
    <n v="2"/>
    <n v="0.01"/>
    <n v="0.32"/>
    <x v="2"/>
    <s v="CUST0165"/>
    <n v="2551.7399999999998"/>
  </r>
  <r>
    <n v="423"/>
    <d v="2024-08-30T00:00:00"/>
    <s v="Tablet"/>
    <s v="Electronics"/>
    <n v="1130.58"/>
    <n v="5"/>
    <n v="0.11"/>
    <n v="0.2"/>
    <x v="2"/>
    <s v="CUST0184"/>
    <n v="5652.9"/>
  </r>
  <r>
    <n v="424"/>
    <d v="2024-05-11T00:00:00"/>
    <s v="Monitor"/>
    <s v="Electronics"/>
    <n v="1266.9100000000001"/>
    <n v="3"/>
    <n v="0.3"/>
    <n v="0.21"/>
    <x v="0"/>
    <s v="CUST0053"/>
    <n v="3800.7300000000005"/>
  </r>
  <r>
    <n v="425"/>
    <d v="2024-11-05T00:00:00"/>
    <s v="Keyboard"/>
    <s v="Accessories"/>
    <n v="1090.05"/>
    <n v="3"/>
    <n v="0.04"/>
    <n v="0.3"/>
    <x v="1"/>
    <s v="CUST0137"/>
    <n v="3270.1499999999996"/>
  </r>
  <r>
    <n v="426"/>
    <d v="2024-07-06T00:00:00"/>
    <s v="Monitor"/>
    <s v="Electronics"/>
    <n v="1051.04"/>
    <n v="5"/>
    <n v="0.01"/>
    <n v="0.15"/>
    <x v="2"/>
    <s v="CUST0115"/>
    <n v="5255.2"/>
  </r>
  <r>
    <n v="427"/>
    <d v="2024-08-08T00:00:00"/>
    <s v="Mouse"/>
    <s v="Accessories"/>
    <n v="1196.44"/>
    <n v="4"/>
    <n v="0.12"/>
    <n v="0.36"/>
    <x v="0"/>
    <s v="CUST0180"/>
    <n v="4785.76"/>
  </r>
  <r>
    <n v="428"/>
    <d v="2024-09-10T00:00:00"/>
    <s v="Mouse"/>
    <s v="Accessories"/>
    <n v="972.43"/>
    <n v="5"/>
    <n v="0.17"/>
    <n v="0.27"/>
    <x v="3"/>
    <s v="CUST0195"/>
    <n v="4862.1499999999996"/>
  </r>
  <r>
    <n v="429"/>
    <d v="2024-10-31T00:00:00"/>
    <s v="Laptop"/>
    <s v="Electronics"/>
    <n v="742.73"/>
    <n v="2"/>
    <n v="0.18"/>
    <n v="0.11"/>
    <x v="2"/>
    <s v="CUST0287"/>
    <n v="1485.46"/>
  </r>
  <r>
    <n v="430"/>
    <d v="2024-01-30T00:00:00"/>
    <s v="Tablet"/>
    <s v="Electronics"/>
    <n v="963.82"/>
    <n v="3"/>
    <n v="0.02"/>
    <n v="0.2"/>
    <x v="0"/>
    <s v="CUST0186"/>
    <n v="2891.46"/>
  </r>
  <r>
    <n v="431"/>
    <d v="2024-06-21T00:00:00"/>
    <s v="Mouse"/>
    <s v="Accessories"/>
    <n v="1473.4"/>
    <n v="5"/>
    <n v="0.24"/>
    <n v="0.26"/>
    <x v="0"/>
    <s v="CUST0087"/>
    <n v="7367"/>
  </r>
  <r>
    <n v="432"/>
    <d v="2024-04-25T00:00:00"/>
    <s v="Keyboard"/>
    <s v="Accessories"/>
    <n v="242.49"/>
    <n v="1"/>
    <n v="0.13"/>
    <n v="0.13"/>
    <x v="1"/>
    <s v="CUST0254"/>
    <n v="242.49"/>
  </r>
  <r>
    <n v="433"/>
    <d v="2024-04-27T00:00:00"/>
    <s v="Keyboard"/>
    <s v="Accessories"/>
    <n v="117.25"/>
    <n v="4"/>
    <n v="0.22"/>
    <n v="0.4"/>
    <x v="1"/>
    <s v="CUST0224"/>
    <n v="469"/>
  </r>
  <r>
    <n v="434"/>
    <d v="2024-02-16T00:00:00"/>
    <s v="Laptop"/>
    <s v="Electronics"/>
    <n v="972.78"/>
    <n v="1"/>
    <n v="0.19"/>
    <n v="0.25"/>
    <x v="0"/>
    <s v="CUST0050"/>
    <n v="972.78"/>
  </r>
  <r>
    <n v="435"/>
    <d v="2024-11-20T00:00:00"/>
    <s v="Laptop"/>
    <s v="Electronics"/>
    <n v="199.55"/>
    <n v="4"/>
    <n v="0.12"/>
    <n v="0.27"/>
    <x v="0"/>
    <s v="CUST0187"/>
    <n v="798.2"/>
  </r>
  <r>
    <n v="436"/>
    <d v="2024-04-16T00:00:00"/>
    <s v="Mouse"/>
    <s v="Accessories"/>
    <n v="297.10000000000002"/>
    <n v="5"/>
    <n v="0.28999999999999998"/>
    <n v="0.15"/>
    <x v="0"/>
    <s v="CUST0094"/>
    <n v="1485.5"/>
  </r>
  <r>
    <n v="437"/>
    <d v="2024-02-20T00:00:00"/>
    <s v="Mouse"/>
    <s v="Accessories"/>
    <n v="60.68"/>
    <n v="5"/>
    <n v="0.21"/>
    <n v="0.38"/>
    <x v="0"/>
    <s v="CUST0159"/>
    <n v="303.39999999999998"/>
  </r>
  <r>
    <n v="438"/>
    <d v="2024-03-09T00:00:00"/>
    <s v="Keyboard"/>
    <s v="Accessories"/>
    <n v="1412.5"/>
    <n v="2"/>
    <n v="0.26"/>
    <n v="0.17"/>
    <x v="2"/>
    <s v="CUST0039"/>
    <n v="2825"/>
  </r>
  <r>
    <n v="439"/>
    <d v="2024-07-10T00:00:00"/>
    <s v="Tablet"/>
    <s v="Electronics"/>
    <n v="1266.8499999999999"/>
    <n v="5"/>
    <n v="0.14000000000000001"/>
    <n v="0.23"/>
    <x v="2"/>
    <s v="CUST0092"/>
    <n v="6334.25"/>
  </r>
  <r>
    <n v="440"/>
    <d v="2024-05-08T00:00:00"/>
    <s v="Mouse"/>
    <s v="Accessories"/>
    <n v="737.38"/>
    <n v="2"/>
    <n v="0.02"/>
    <n v="0.32"/>
    <x v="3"/>
    <s v="CUST0136"/>
    <n v="1474.76"/>
  </r>
  <r>
    <n v="441"/>
    <d v="2024-11-11T00:00:00"/>
    <s v="Mouse"/>
    <s v="Accessories"/>
    <n v="1175.81"/>
    <n v="4"/>
    <n v="0.23"/>
    <n v="0.15"/>
    <x v="2"/>
    <s v="CUST0250"/>
    <n v="4703.24"/>
  </r>
  <r>
    <n v="442"/>
    <d v="2024-02-05T00:00:00"/>
    <s v="Keyboard"/>
    <s v="Accessories"/>
    <n v="218.74"/>
    <n v="1"/>
    <n v="0.23"/>
    <n v="0.3"/>
    <x v="3"/>
    <s v="CUST0199"/>
    <n v="218.74"/>
  </r>
  <r>
    <n v="443"/>
    <d v="2024-06-11T00:00:00"/>
    <s v="Keyboard"/>
    <s v="Accessories"/>
    <n v="44.77"/>
    <n v="4"/>
    <n v="0.01"/>
    <n v="0.11"/>
    <x v="1"/>
    <s v="CUST0090"/>
    <n v="179.08"/>
  </r>
  <r>
    <n v="444"/>
    <d v="2024-04-15T00:00:00"/>
    <s v="Keyboard"/>
    <s v="Accessories"/>
    <n v="431.53"/>
    <n v="2"/>
    <n v="0.08"/>
    <n v="0.33"/>
    <x v="0"/>
    <s v="CUST0055"/>
    <n v="863.06"/>
  </r>
  <r>
    <n v="445"/>
    <d v="2024-04-16T00:00:00"/>
    <s v="Mouse"/>
    <s v="Accessories"/>
    <n v="1271.06"/>
    <n v="4"/>
    <n v="0.05"/>
    <n v="0.36"/>
    <x v="0"/>
    <s v="CUST0138"/>
    <n v="5084.24"/>
  </r>
  <r>
    <n v="446"/>
    <d v="2024-06-26T00:00:00"/>
    <s v="Headphones"/>
    <s v="Accessories"/>
    <n v="117.41"/>
    <n v="2"/>
    <n v="0.17"/>
    <n v="0.2"/>
    <x v="2"/>
    <s v="CUST0064"/>
    <n v="234.82"/>
  </r>
  <r>
    <n v="447"/>
    <d v="2024-05-22T00:00:00"/>
    <s v="Tablet"/>
    <s v="Electronics"/>
    <n v="631.37"/>
    <n v="2"/>
    <n v="0.22"/>
    <n v="0.26"/>
    <x v="3"/>
    <s v="CUST0245"/>
    <n v="1262.74"/>
  </r>
  <r>
    <n v="448"/>
    <d v="2024-05-21T00:00:00"/>
    <s v="Tablet"/>
    <s v="Electronics"/>
    <n v="1326.15"/>
    <n v="5"/>
    <n v="0.02"/>
    <n v="0.23"/>
    <x v="2"/>
    <s v="CUST0272"/>
    <n v="6630.75"/>
  </r>
  <r>
    <n v="449"/>
    <d v="2024-03-27T00:00:00"/>
    <s v="Mouse"/>
    <s v="Accessories"/>
    <n v="1102.96"/>
    <n v="2"/>
    <n v="0.28999999999999998"/>
    <n v="0.14000000000000001"/>
    <x v="3"/>
    <s v="CUST0087"/>
    <n v="2205.92"/>
  </r>
  <r>
    <n v="450"/>
    <d v="2024-06-09T00:00:00"/>
    <s v="Headphones"/>
    <s v="Accessories"/>
    <n v="317.19"/>
    <n v="1"/>
    <n v="0.14000000000000001"/>
    <n v="0.39"/>
    <x v="1"/>
    <s v="CUST0039"/>
    <n v="317.19"/>
  </r>
  <r>
    <n v="451"/>
    <d v="2024-03-26T00:00:00"/>
    <s v="Headphones"/>
    <s v="Accessories"/>
    <n v="248.09"/>
    <n v="4"/>
    <n v="0.13"/>
    <n v="0.13"/>
    <x v="0"/>
    <s v="CUST0003"/>
    <n v="992.36"/>
  </r>
  <r>
    <n v="452"/>
    <d v="2024-01-28T00:00:00"/>
    <s v="Laptop"/>
    <s v="Electronics"/>
    <n v="852.8"/>
    <n v="1"/>
    <n v="0.28999999999999998"/>
    <n v="0.17"/>
    <x v="2"/>
    <s v="CUST0005"/>
    <n v="852.8"/>
  </r>
  <r>
    <n v="453"/>
    <d v="2024-04-07T00:00:00"/>
    <s v="Laptop"/>
    <s v="Electronics"/>
    <n v="1091.1500000000001"/>
    <n v="1"/>
    <n v="0.24"/>
    <n v="0.26"/>
    <x v="3"/>
    <s v="CUST0024"/>
    <n v="1091.1500000000001"/>
  </r>
  <r>
    <n v="454"/>
    <d v="2024-01-02T00:00:00"/>
    <s v="Tablet"/>
    <s v="Electronics"/>
    <n v="145.54"/>
    <n v="2"/>
    <n v="0.15"/>
    <n v="0.15"/>
    <x v="0"/>
    <s v="CUST0217"/>
    <n v="291.08"/>
  </r>
  <r>
    <n v="455"/>
    <d v="2024-05-04T00:00:00"/>
    <s v="Monitor"/>
    <s v="Electronics"/>
    <n v="1004.68"/>
    <n v="1"/>
    <n v="0.2"/>
    <n v="0.24"/>
    <x v="0"/>
    <s v="CUST0213"/>
    <n v="1004.68"/>
  </r>
  <r>
    <n v="456"/>
    <d v="2024-02-28T00:00:00"/>
    <s v="Headphones"/>
    <s v="Accessories"/>
    <n v="1130.19"/>
    <n v="4"/>
    <n v="0.02"/>
    <n v="0.25"/>
    <x v="1"/>
    <s v="CUST0159"/>
    <n v="4520.76"/>
  </r>
  <r>
    <n v="457"/>
    <d v="2024-10-03T00:00:00"/>
    <s v="Keyboard"/>
    <s v="Accessories"/>
    <n v="702.38"/>
    <n v="3"/>
    <n v="0.24"/>
    <n v="0.16"/>
    <x v="3"/>
    <s v="CUST0176"/>
    <n v="2107.14"/>
  </r>
  <r>
    <n v="458"/>
    <d v="2024-08-19T00:00:00"/>
    <s v="Laptop"/>
    <s v="Electronics"/>
    <n v="267.94"/>
    <n v="4"/>
    <n v="0.23"/>
    <n v="0.26"/>
    <x v="1"/>
    <s v="CUST0254"/>
    <n v="1071.76"/>
  </r>
  <r>
    <n v="459"/>
    <d v="2024-06-16T00:00:00"/>
    <s v="Mouse"/>
    <s v="Accessories"/>
    <n v="1319.8"/>
    <n v="4"/>
    <n v="0.26"/>
    <n v="0.17"/>
    <x v="0"/>
    <s v="CUST0152"/>
    <n v="5279.2"/>
  </r>
  <r>
    <n v="460"/>
    <d v="2024-09-04T00:00:00"/>
    <s v="Headphones"/>
    <s v="Accessories"/>
    <n v="1477.86"/>
    <n v="2"/>
    <n v="0.17"/>
    <n v="0.27"/>
    <x v="2"/>
    <s v="CUST0079"/>
    <n v="2955.72"/>
  </r>
  <r>
    <n v="461"/>
    <d v="2024-09-18T00:00:00"/>
    <s v="Tablet"/>
    <s v="Electronics"/>
    <n v="709.3"/>
    <n v="4"/>
    <n v="0.16"/>
    <n v="0.25"/>
    <x v="0"/>
    <s v="CUST0071"/>
    <n v="2837.2"/>
  </r>
  <r>
    <n v="462"/>
    <d v="2024-07-15T00:00:00"/>
    <s v="Laptop"/>
    <s v="Electronics"/>
    <n v="573.6"/>
    <n v="1"/>
    <n v="0.12"/>
    <n v="0.13"/>
    <x v="2"/>
    <s v="CUST0274"/>
    <n v="573.6"/>
  </r>
  <r>
    <n v="463"/>
    <d v="2024-10-23T00:00:00"/>
    <s v="Keyboard"/>
    <s v="Accessories"/>
    <n v="1447.6"/>
    <n v="4"/>
    <n v="0.16"/>
    <n v="0.19"/>
    <x v="1"/>
    <s v="CUST0155"/>
    <n v="5790.4"/>
  </r>
  <r>
    <n v="464"/>
    <d v="2024-08-25T00:00:00"/>
    <s v="Laptop"/>
    <s v="Electronics"/>
    <n v="876.95"/>
    <n v="5"/>
    <n v="0.09"/>
    <n v="0.28999999999999998"/>
    <x v="2"/>
    <s v="CUST0138"/>
    <n v="4384.75"/>
  </r>
  <r>
    <n v="465"/>
    <d v="2024-09-19T00:00:00"/>
    <s v="Laptop"/>
    <s v="Electronics"/>
    <n v="811.22"/>
    <n v="2"/>
    <n v="0.13"/>
    <n v="0.27"/>
    <x v="3"/>
    <s v="CUST0239"/>
    <n v="1622.44"/>
  </r>
  <r>
    <n v="466"/>
    <d v="2024-02-09T00:00:00"/>
    <s v="Keyboard"/>
    <s v="Accessories"/>
    <n v="929.87"/>
    <n v="5"/>
    <n v="0.27"/>
    <n v="0.18"/>
    <x v="2"/>
    <s v="CUST0078"/>
    <n v="4649.3500000000004"/>
  </r>
  <r>
    <n v="467"/>
    <d v="2024-04-10T00:00:00"/>
    <s v="Laptop"/>
    <s v="Electronics"/>
    <n v="772.9"/>
    <n v="4"/>
    <n v="0.06"/>
    <n v="0.16"/>
    <x v="3"/>
    <s v="CUST0138"/>
    <n v="3091.6"/>
  </r>
  <r>
    <n v="468"/>
    <d v="2024-09-02T00:00:00"/>
    <s v="Tablet"/>
    <s v="Electronics"/>
    <n v="1105.6400000000001"/>
    <n v="3"/>
    <n v="0.09"/>
    <n v="0.34"/>
    <x v="3"/>
    <s v="CUST0036"/>
    <n v="3316.92"/>
  </r>
  <r>
    <n v="469"/>
    <d v="2024-01-16T00:00:00"/>
    <s v="Monitor"/>
    <s v="Electronics"/>
    <n v="1288.8900000000001"/>
    <n v="1"/>
    <n v="0.24"/>
    <n v="0.25"/>
    <x v="0"/>
    <s v="CUST0130"/>
    <n v="1288.8900000000001"/>
  </r>
  <r>
    <n v="470"/>
    <d v="2024-09-25T00:00:00"/>
    <s v="Tablet"/>
    <s v="Electronics"/>
    <n v="1482.91"/>
    <n v="5"/>
    <n v="0.3"/>
    <n v="0.3"/>
    <x v="1"/>
    <s v="CUST0008"/>
    <n v="7414.55"/>
  </r>
  <r>
    <n v="471"/>
    <d v="2024-09-03T00:00:00"/>
    <s v="Laptop"/>
    <s v="Electronics"/>
    <n v="501.44"/>
    <n v="4"/>
    <n v="0.26"/>
    <n v="0.23"/>
    <x v="3"/>
    <s v="CUST0167"/>
    <n v="2005.76"/>
  </r>
  <r>
    <n v="472"/>
    <d v="2024-10-07T00:00:00"/>
    <s v="Monitor"/>
    <s v="Electronics"/>
    <n v="216.49"/>
    <n v="5"/>
    <n v="0.17"/>
    <n v="0.26"/>
    <x v="3"/>
    <s v="CUST0067"/>
    <n v="1082.45"/>
  </r>
  <r>
    <n v="473"/>
    <d v="2024-07-07T00:00:00"/>
    <s v="Headphones"/>
    <s v="Accessories"/>
    <n v="1238.8599999999999"/>
    <n v="2"/>
    <n v="0.02"/>
    <n v="0.32"/>
    <x v="3"/>
    <s v="CUST0141"/>
    <n v="2477.7199999999998"/>
  </r>
  <r>
    <n v="474"/>
    <d v="2024-07-29T00:00:00"/>
    <s v="Monitor"/>
    <s v="Electronics"/>
    <n v="521.84"/>
    <n v="1"/>
    <n v="0.25"/>
    <n v="0.26"/>
    <x v="3"/>
    <s v="CUST0123"/>
    <n v="521.84"/>
  </r>
  <r>
    <n v="475"/>
    <d v="2024-12-29T00:00:00"/>
    <s v="Headphones"/>
    <s v="Accessories"/>
    <n v="1145.3800000000001"/>
    <n v="1"/>
    <n v="0.14000000000000001"/>
    <n v="0.35"/>
    <x v="2"/>
    <s v="CUST0091"/>
    <n v="1145.3800000000001"/>
  </r>
  <r>
    <n v="476"/>
    <d v="2024-10-12T00:00:00"/>
    <s v="Headphones"/>
    <s v="Accessories"/>
    <n v="488.24"/>
    <n v="2"/>
    <n v="0.25"/>
    <n v="0.36"/>
    <x v="2"/>
    <s v="CUST0159"/>
    <n v="976.48"/>
  </r>
  <r>
    <n v="477"/>
    <d v="2024-06-11T00:00:00"/>
    <s v="Laptop"/>
    <s v="Electronics"/>
    <n v="281.3"/>
    <n v="5"/>
    <n v="0.03"/>
    <n v="0.13"/>
    <x v="2"/>
    <s v="CUST0278"/>
    <n v="1406.5"/>
  </r>
  <r>
    <n v="478"/>
    <d v="2024-03-15T00:00:00"/>
    <s v="Tablet"/>
    <s v="Electronics"/>
    <n v="234.41"/>
    <n v="1"/>
    <n v="0.22"/>
    <n v="0.16"/>
    <x v="3"/>
    <s v="CUST0254"/>
    <n v="234.41"/>
  </r>
  <r>
    <n v="479"/>
    <d v="2024-09-27T00:00:00"/>
    <s v="Headphones"/>
    <s v="Accessories"/>
    <n v="985.44"/>
    <n v="1"/>
    <n v="0.25"/>
    <n v="0.24"/>
    <x v="0"/>
    <s v="CUST0232"/>
    <n v="985.44"/>
  </r>
  <r>
    <n v="480"/>
    <d v="2024-03-06T00:00:00"/>
    <s v="Monitor"/>
    <s v="Electronics"/>
    <n v="399.61"/>
    <n v="1"/>
    <n v="0.04"/>
    <n v="0.3"/>
    <x v="0"/>
    <s v="CUST0166"/>
    <n v="399.61"/>
  </r>
  <r>
    <n v="481"/>
    <d v="2024-05-27T00:00:00"/>
    <s v="Monitor"/>
    <s v="Electronics"/>
    <n v="489.51"/>
    <n v="4"/>
    <n v="0.2"/>
    <n v="0.15"/>
    <x v="1"/>
    <s v="CUST0114"/>
    <n v="1958.04"/>
  </r>
  <r>
    <n v="482"/>
    <d v="2024-10-20T00:00:00"/>
    <s v="Monitor"/>
    <s v="Electronics"/>
    <n v="360.09"/>
    <n v="3"/>
    <n v="0.21"/>
    <n v="0.25"/>
    <x v="2"/>
    <s v="CUST0248"/>
    <n v="1080.27"/>
  </r>
  <r>
    <n v="483"/>
    <d v="2024-10-28T00:00:00"/>
    <s v="Tablet"/>
    <s v="Electronics"/>
    <n v="556.55999999999995"/>
    <n v="5"/>
    <n v="0.01"/>
    <n v="0.19"/>
    <x v="2"/>
    <s v="CUST0238"/>
    <n v="2782.7999999999997"/>
  </r>
  <r>
    <n v="484"/>
    <d v="2024-12-20T00:00:00"/>
    <s v="Keyboard"/>
    <s v="Accessories"/>
    <n v="1144.8900000000001"/>
    <n v="4"/>
    <n v="0.26"/>
    <n v="0.33"/>
    <x v="0"/>
    <s v="CUST0084"/>
    <n v="4579.5600000000004"/>
  </r>
  <r>
    <n v="485"/>
    <d v="2024-08-06T00:00:00"/>
    <s v="Keyboard"/>
    <s v="Accessories"/>
    <n v="112.16"/>
    <n v="2"/>
    <n v="0.2"/>
    <n v="0.36"/>
    <x v="2"/>
    <s v="CUST0227"/>
    <n v="224.32"/>
  </r>
  <r>
    <n v="486"/>
    <d v="2024-05-21T00:00:00"/>
    <s v="Keyboard"/>
    <s v="Accessories"/>
    <n v="851.65"/>
    <n v="3"/>
    <n v="0.12"/>
    <n v="0.21"/>
    <x v="0"/>
    <s v="CUST0227"/>
    <n v="2554.9499999999998"/>
  </r>
  <r>
    <n v="487"/>
    <d v="2024-03-24T00:00:00"/>
    <s v="Laptop"/>
    <s v="Electronics"/>
    <n v="1300.23"/>
    <n v="3"/>
    <n v="0.12"/>
    <n v="0.34"/>
    <x v="2"/>
    <s v="CUST0010"/>
    <n v="3900.69"/>
  </r>
  <r>
    <n v="488"/>
    <d v="2024-03-23T00:00:00"/>
    <s v="Laptop"/>
    <s v="Electronics"/>
    <n v="51.55"/>
    <n v="2"/>
    <n v="0.28999999999999998"/>
    <n v="0.14000000000000001"/>
    <x v="1"/>
    <s v="CUST0174"/>
    <n v="103.1"/>
  </r>
  <r>
    <n v="489"/>
    <d v="2024-06-21T00:00:00"/>
    <s v="Laptop"/>
    <s v="Electronics"/>
    <n v="1459.85"/>
    <n v="3"/>
    <n v="0.23"/>
    <n v="0.34"/>
    <x v="3"/>
    <s v="CUST0170"/>
    <n v="4379.5499999999993"/>
  </r>
  <r>
    <n v="490"/>
    <d v="2024-10-01T00:00:00"/>
    <s v="Mouse"/>
    <s v="Accessories"/>
    <n v="1445.15"/>
    <n v="1"/>
    <n v="0.09"/>
    <n v="0.35"/>
    <x v="1"/>
    <s v="CUST0123"/>
    <n v="1445.15"/>
  </r>
  <r>
    <n v="491"/>
    <d v="2024-10-12T00:00:00"/>
    <s v="Tablet"/>
    <s v="Electronics"/>
    <n v="1312.31"/>
    <n v="5"/>
    <n v="0.16"/>
    <n v="0.13"/>
    <x v="3"/>
    <s v="CUST0281"/>
    <n v="6561.5499999999993"/>
  </r>
  <r>
    <n v="492"/>
    <d v="2024-07-21T00:00:00"/>
    <s v="Laptop"/>
    <s v="Electronics"/>
    <n v="93.03"/>
    <n v="1"/>
    <n v="0.14000000000000001"/>
    <n v="0.19"/>
    <x v="2"/>
    <s v="CUST0089"/>
    <n v="93.03"/>
  </r>
  <r>
    <n v="493"/>
    <d v="2024-07-14T00:00:00"/>
    <s v="Monitor"/>
    <s v="Electronics"/>
    <n v="134.51"/>
    <n v="1"/>
    <n v="0.09"/>
    <n v="0.32"/>
    <x v="0"/>
    <s v="CUST0135"/>
    <n v="134.51"/>
  </r>
  <r>
    <n v="494"/>
    <d v="2024-04-19T00:00:00"/>
    <s v="Tablet"/>
    <s v="Electronics"/>
    <n v="120.12"/>
    <n v="4"/>
    <n v="0.26"/>
    <n v="0.3"/>
    <x v="1"/>
    <s v="CUST0109"/>
    <n v="480.48"/>
  </r>
  <r>
    <n v="495"/>
    <d v="2024-09-24T00:00:00"/>
    <s v="Keyboard"/>
    <s v="Accessories"/>
    <n v="527.1"/>
    <n v="5"/>
    <n v="0.25"/>
    <n v="0.19"/>
    <x v="3"/>
    <s v="CUST0007"/>
    <n v="2635.5"/>
  </r>
  <r>
    <n v="496"/>
    <d v="2024-10-30T00:00:00"/>
    <s v="Mouse"/>
    <s v="Accessories"/>
    <n v="884.64"/>
    <n v="2"/>
    <n v="0.17"/>
    <n v="0.3"/>
    <x v="0"/>
    <s v="CUST0137"/>
    <n v="1769.28"/>
  </r>
  <r>
    <n v="497"/>
    <d v="2024-07-19T00:00:00"/>
    <s v="Mouse"/>
    <s v="Accessories"/>
    <n v="1251.28"/>
    <n v="3"/>
    <n v="0.15"/>
    <n v="0.32"/>
    <x v="1"/>
    <s v="CUST0210"/>
    <n v="3753.84"/>
  </r>
  <r>
    <n v="498"/>
    <d v="2024-03-05T00:00:00"/>
    <s v="Headphones"/>
    <s v="Accessories"/>
    <n v="1366.7"/>
    <n v="4"/>
    <n v="0.26"/>
    <n v="0.12"/>
    <x v="1"/>
    <s v="CUST0195"/>
    <n v="5466.8"/>
  </r>
  <r>
    <n v="499"/>
    <d v="2024-01-15T00:00:00"/>
    <s v="Mouse"/>
    <s v="Accessories"/>
    <n v="62.08"/>
    <n v="4"/>
    <n v="0.27"/>
    <n v="0.24"/>
    <x v="2"/>
    <s v="CUST0039"/>
    <n v="248.32"/>
  </r>
  <r>
    <n v="500"/>
    <d v="2024-01-21T00:00:00"/>
    <s v="Headphones"/>
    <s v="Accessories"/>
    <n v="912.84"/>
    <n v="2"/>
    <n v="0.05"/>
    <n v="0.15"/>
    <x v="3"/>
    <s v="CUST0295"/>
    <n v="1825.68"/>
  </r>
  <r>
    <n v="501"/>
    <d v="2024-11-06T00:00:00"/>
    <s v="Mouse"/>
    <s v="Accessories"/>
    <n v="956.18"/>
    <n v="4"/>
    <n v="0.24"/>
    <n v="0.28999999999999998"/>
    <x v="0"/>
    <s v="CUST0099"/>
    <n v="3824.72"/>
  </r>
  <r>
    <n v="502"/>
    <d v="2024-03-07T00:00:00"/>
    <s v="Headphones"/>
    <s v="Accessories"/>
    <n v="780.74"/>
    <n v="4"/>
    <n v="7.0000000000000007E-2"/>
    <n v="0.34"/>
    <x v="0"/>
    <s v="CUST0023"/>
    <n v="3122.96"/>
  </r>
  <r>
    <n v="503"/>
    <d v="2024-12-26T00:00:00"/>
    <s v="Tablet"/>
    <s v="Electronics"/>
    <n v="987.03"/>
    <n v="2"/>
    <n v="0.08"/>
    <n v="0.24"/>
    <x v="3"/>
    <s v="CUST0275"/>
    <n v="1974.06"/>
  </r>
  <r>
    <n v="504"/>
    <d v="2024-09-18T00:00:00"/>
    <s v="Laptop"/>
    <s v="Electronics"/>
    <n v="771.74"/>
    <n v="1"/>
    <n v="0"/>
    <n v="0.11"/>
    <x v="2"/>
    <s v="CUST0253"/>
    <n v="771.74"/>
  </r>
  <r>
    <n v="505"/>
    <d v="2024-04-02T00:00:00"/>
    <s v="Monitor"/>
    <s v="Electronics"/>
    <n v="92.33"/>
    <n v="3"/>
    <n v="0.08"/>
    <n v="0.39"/>
    <x v="3"/>
    <s v="CUST0176"/>
    <n v="276.99"/>
  </r>
  <r>
    <n v="506"/>
    <d v="2024-08-24T00:00:00"/>
    <s v="Keyboard"/>
    <s v="Accessories"/>
    <n v="722.63"/>
    <n v="3"/>
    <n v="0.06"/>
    <n v="0.28000000000000003"/>
    <x v="3"/>
    <s v="CUST0006"/>
    <n v="2167.89"/>
  </r>
  <r>
    <n v="507"/>
    <d v="2024-10-28T00:00:00"/>
    <s v="Headphones"/>
    <s v="Accessories"/>
    <n v="724.58"/>
    <n v="1"/>
    <n v="0.15"/>
    <n v="0.1"/>
    <x v="1"/>
    <s v="CUST0182"/>
    <n v="724.58"/>
  </r>
  <r>
    <n v="508"/>
    <d v="2024-10-21T00:00:00"/>
    <s v="Keyboard"/>
    <s v="Accessories"/>
    <n v="98.01"/>
    <n v="3"/>
    <n v="0.25"/>
    <n v="0.19"/>
    <x v="3"/>
    <s v="CUST0065"/>
    <n v="294.03000000000003"/>
  </r>
  <r>
    <n v="509"/>
    <d v="2024-11-05T00:00:00"/>
    <s v="Monitor"/>
    <s v="Electronics"/>
    <n v="1208.81"/>
    <n v="1"/>
    <n v="7.0000000000000007E-2"/>
    <n v="0.22"/>
    <x v="2"/>
    <s v="CUST0087"/>
    <n v="1208.81"/>
  </r>
  <r>
    <n v="510"/>
    <d v="2024-01-17T00:00:00"/>
    <s v="Mouse"/>
    <s v="Accessories"/>
    <n v="1399.34"/>
    <n v="1"/>
    <n v="0.25"/>
    <n v="0.19"/>
    <x v="3"/>
    <s v="CUST0063"/>
    <n v="1399.34"/>
  </r>
  <r>
    <n v="511"/>
    <d v="2024-02-08T00:00:00"/>
    <s v="Monitor"/>
    <s v="Electronics"/>
    <n v="192.91"/>
    <n v="3"/>
    <n v="0.26"/>
    <n v="0.27"/>
    <x v="1"/>
    <s v="CUST0033"/>
    <n v="578.73"/>
  </r>
  <r>
    <n v="512"/>
    <d v="2024-05-06T00:00:00"/>
    <s v="Mouse"/>
    <s v="Accessories"/>
    <n v="752.98"/>
    <n v="3"/>
    <n v="0.01"/>
    <n v="0.24"/>
    <x v="0"/>
    <s v="CUST0021"/>
    <n v="2258.94"/>
  </r>
  <r>
    <n v="513"/>
    <d v="2024-03-12T00:00:00"/>
    <s v="Monitor"/>
    <s v="Electronics"/>
    <n v="430.23"/>
    <n v="1"/>
    <n v="0.12"/>
    <n v="0.32"/>
    <x v="0"/>
    <s v="CUST0003"/>
    <n v="430.23"/>
  </r>
  <r>
    <n v="514"/>
    <d v="2024-10-27T00:00:00"/>
    <s v="Keyboard"/>
    <s v="Accessories"/>
    <n v="1363.73"/>
    <n v="5"/>
    <n v="0.08"/>
    <n v="0.3"/>
    <x v="0"/>
    <s v="CUST0193"/>
    <n v="6818.65"/>
  </r>
  <r>
    <n v="515"/>
    <d v="2024-12-12T00:00:00"/>
    <s v="Laptop"/>
    <s v="Electronics"/>
    <n v="1084.68"/>
    <n v="4"/>
    <n v="0.25"/>
    <n v="0.1"/>
    <x v="3"/>
    <s v="CUST0233"/>
    <n v="4338.72"/>
  </r>
  <r>
    <n v="516"/>
    <d v="2024-12-05T00:00:00"/>
    <s v="Keyboard"/>
    <s v="Accessories"/>
    <n v="28.1"/>
    <n v="5"/>
    <n v="0.25"/>
    <n v="0.11"/>
    <x v="3"/>
    <s v="CUST0230"/>
    <n v="140.5"/>
  </r>
  <r>
    <n v="517"/>
    <d v="2024-03-22T00:00:00"/>
    <s v="Headphones"/>
    <s v="Accessories"/>
    <n v="1037.72"/>
    <n v="2"/>
    <n v="0.2"/>
    <n v="0.34"/>
    <x v="3"/>
    <s v="CUST0046"/>
    <n v="2075.44"/>
  </r>
  <r>
    <n v="518"/>
    <d v="2024-11-27T00:00:00"/>
    <s v="Keyboard"/>
    <s v="Accessories"/>
    <n v="161.12"/>
    <n v="4"/>
    <n v="0.16"/>
    <n v="0.37"/>
    <x v="1"/>
    <s v="CUST0249"/>
    <n v="644.48"/>
  </r>
  <r>
    <n v="519"/>
    <d v="2024-04-14T00:00:00"/>
    <s v="Keyboard"/>
    <s v="Accessories"/>
    <n v="143.27000000000001"/>
    <n v="1"/>
    <n v="0.28000000000000003"/>
    <n v="0.3"/>
    <x v="2"/>
    <s v="CUST0069"/>
    <n v="143.27000000000001"/>
  </r>
  <r>
    <n v="520"/>
    <d v="2024-07-28T00:00:00"/>
    <s v="Mouse"/>
    <s v="Accessories"/>
    <n v="978.51"/>
    <n v="3"/>
    <n v="0.18"/>
    <n v="0.1"/>
    <x v="2"/>
    <s v="CUST0130"/>
    <n v="2935.5299999999997"/>
  </r>
  <r>
    <n v="521"/>
    <d v="2024-03-24T00:00:00"/>
    <s v="Mouse"/>
    <s v="Accessories"/>
    <n v="229.84"/>
    <n v="1"/>
    <n v="0.18"/>
    <n v="0.36"/>
    <x v="1"/>
    <s v="CUST0173"/>
    <n v="229.84"/>
  </r>
  <r>
    <n v="522"/>
    <d v="2024-12-15T00:00:00"/>
    <s v="Tablet"/>
    <s v="Electronics"/>
    <n v="965.87"/>
    <n v="5"/>
    <n v="0.27"/>
    <n v="0.12"/>
    <x v="0"/>
    <s v="CUST0227"/>
    <n v="4829.3500000000004"/>
  </r>
  <r>
    <n v="523"/>
    <d v="2024-08-22T00:00:00"/>
    <s v="Monitor"/>
    <s v="Electronics"/>
    <n v="234.65"/>
    <n v="1"/>
    <n v="0.21"/>
    <n v="0.26"/>
    <x v="0"/>
    <s v="CUST0224"/>
    <n v="234.65"/>
  </r>
  <r>
    <n v="524"/>
    <d v="2024-03-02T00:00:00"/>
    <s v="Keyboard"/>
    <s v="Accessories"/>
    <n v="741.85"/>
    <n v="5"/>
    <n v="0.12"/>
    <n v="0.37"/>
    <x v="2"/>
    <s v="CUST0213"/>
    <n v="3709.25"/>
  </r>
  <r>
    <n v="525"/>
    <d v="2024-10-10T00:00:00"/>
    <s v="Keyboard"/>
    <s v="Accessories"/>
    <n v="849"/>
    <n v="1"/>
    <n v="0.22"/>
    <n v="0.3"/>
    <x v="0"/>
    <s v="CUST0296"/>
    <n v="849"/>
  </r>
  <r>
    <n v="526"/>
    <d v="2024-03-13T00:00:00"/>
    <s v="Headphones"/>
    <s v="Accessories"/>
    <n v="596.4"/>
    <n v="3"/>
    <n v="0.13"/>
    <n v="0.3"/>
    <x v="2"/>
    <s v="CUST0096"/>
    <n v="1789.1999999999998"/>
  </r>
  <r>
    <n v="527"/>
    <d v="2024-10-14T00:00:00"/>
    <s v="Laptop"/>
    <s v="Electronics"/>
    <n v="476.81"/>
    <n v="2"/>
    <n v="0.18"/>
    <n v="0.17"/>
    <x v="1"/>
    <s v="CUST0252"/>
    <n v="953.62"/>
  </r>
  <r>
    <n v="528"/>
    <d v="2024-01-23T00:00:00"/>
    <s v="Headphones"/>
    <s v="Accessories"/>
    <n v="1238.07"/>
    <n v="4"/>
    <n v="0.17"/>
    <n v="0.33"/>
    <x v="3"/>
    <s v="CUST0008"/>
    <n v="4952.28"/>
  </r>
  <r>
    <n v="529"/>
    <d v="2024-06-15T00:00:00"/>
    <s v="Keyboard"/>
    <s v="Accessories"/>
    <n v="495.33"/>
    <n v="2"/>
    <n v="0.11"/>
    <n v="0.11"/>
    <x v="1"/>
    <s v="CUST0300"/>
    <n v="990.66"/>
  </r>
  <r>
    <n v="530"/>
    <d v="2024-02-25T00:00:00"/>
    <s v="Laptop"/>
    <s v="Electronics"/>
    <n v="779.73"/>
    <n v="4"/>
    <n v="0.13"/>
    <n v="0.14000000000000001"/>
    <x v="2"/>
    <s v="CUST0059"/>
    <n v="3118.92"/>
  </r>
  <r>
    <n v="531"/>
    <d v="2024-05-05T00:00:00"/>
    <s v="Mouse"/>
    <s v="Accessories"/>
    <n v="1148.81"/>
    <n v="4"/>
    <n v="0.1"/>
    <n v="0.26"/>
    <x v="3"/>
    <s v="CUST0164"/>
    <n v="4595.24"/>
  </r>
  <r>
    <n v="532"/>
    <d v="2024-06-24T00:00:00"/>
    <s v="Keyboard"/>
    <s v="Accessories"/>
    <n v="904.08"/>
    <n v="1"/>
    <n v="0.2"/>
    <n v="0.28000000000000003"/>
    <x v="0"/>
    <s v="CUST0020"/>
    <n v="904.08"/>
  </r>
  <r>
    <n v="533"/>
    <d v="2024-04-22T00:00:00"/>
    <s v="Keyboard"/>
    <s v="Accessories"/>
    <n v="346.39"/>
    <n v="4"/>
    <n v="0.17"/>
    <n v="0.13"/>
    <x v="3"/>
    <s v="CUST0172"/>
    <n v="1385.56"/>
  </r>
  <r>
    <n v="534"/>
    <d v="2024-03-07T00:00:00"/>
    <s v="Headphones"/>
    <s v="Accessories"/>
    <n v="232.32"/>
    <n v="5"/>
    <n v="7.0000000000000007E-2"/>
    <n v="0.39"/>
    <x v="0"/>
    <s v="CUST0113"/>
    <n v="1161.5999999999999"/>
  </r>
  <r>
    <n v="535"/>
    <d v="2024-12-28T00:00:00"/>
    <s v="Monitor"/>
    <s v="Electronics"/>
    <n v="1446.93"/>
    <n v="4"/>
    <n v="0.03"/>
    <n v="0.16"/>
    <x v="2"/>
    <s v="CUST0295"/>
    <n v="5787.72"/>
  </r>
  <r>
    <n v="536"/>
    <d v="2024-05-04T00:00:00"/>
    <s v="Monitor"/>
    <s v="Electronics"/>
    <n v="597.28"/>
    <n v="2"/>
    <n v="0.12"/>
    <n v="0.19"/>
    <x v="0"/>
    <s v="CUST0224"/>
    <n v="1194.56"/>
  </r>
  <r>
    <n v="537"/>
    <d v="2024-06-18T00:00:00"/>
    <s v="Monitor"/>
    <s v="Electronics"/>
    <n v="701.32"/>
    <n v="2"/>
    <n v="0.27"/>
    <n v="0.13"/>
    <x v="1"/>
    <s v="CUST0102"/>
    <n v="1402.64"/>
  </r>
  <r>
    <n v="538"/>
    <d v="2024-07-19T00:00:00"/>
    <s v="Tablet"/>
    <s v="Electronics"/>
    <n v="577.84"/>
    <n v="3"/>
    <n v="0.27"/>
    <n v="0.28000000000000003"/>
    <x v="2"/>
    <s v="CUST0241"/>
    <n v="1733.52"/>
  </r>
  <r>
    <n v="539"/>
    <d v="2024-04-18T00:00:00"/>
    <s v="Headphones"/>
    <s v="Accessories"/>
    <n v="1476.42"/>
    <n v="5"/>
    <n v="0.18"/>
    <n v="0.15"/>
    <x v="2"/>
    <s v="CUST0087"/>
    <n v="7382.1"/>
  </r>
  <r>
    <n v="540"/>
    <d v="2024-06-10T00:00:00"/>
    <s v="Keyboard"/>
    <s v="Accessories"/>
    <n v="1456.84"/>
    <n v="4"/>
    <n v="0.28999999999999998"/>
    <n v="0.24"/>
    <x v="0"/>
    <s v="CUST0015"/>
    <n v="5827.36"/>
  </r>
  <r>
    <n v="541"/>
    <d v="2024-02-11T00:00:00"/>
    <s v="Mouse"/>
    <s v="Accessories"/>
    <n v="273.3"/>
    <n v="5"/>
    <n v="0.25"/>
    <n v="0.23"/>
    <x v="0"/>
    <s v="CUST0029"/>
    <n v="1366.5"/>
  </r>
  <r>
    <n v="542"/>
    <d v="2024-01-21T00:00:00"/>
    <s v="Monitor"/>
    <s v="Electronics"/>
    <n v="1244.55"/>
    <n v="5"/>
    <n v="0.06"/>
    <n v="0.12"/>
    <x v="2"/>
    <s v="CUST0038"/>
    <n v="6222.75"/>
  </r>
  <r>
    <n v="543"/>
    <d v="2024-10-06T00:00:00"/>
    <s v="Laptop"/>
    <s v="Electronics"/>
    <n v="1450.47"/>
    <n v="4"/>
    <n v="0.1"/>
    <n v="0.27"/>
    <x v="0"/>
    <s v="CUST0101"/>
    <n v="5801.88"/>
  </r>
  <r>
    <n v="544"/>
    <d v="2024-09-29T00:00:00"/>
    <s v="Monitor"/>
    <s v="Electronics"/>
    <n v="1499.58"/>
    <n v="5"/>
    <n v="0.19"/>
    <n v="0.25"/>
    <x v="3"/>
    <s v="CUST0147"/>
    <n v="7497.9"/>
  </r>
  <r>
    <n v="545"/>
    <d v="2024-09-06T00:00:00"/>
    <s v="Monitor"/>
    <s v="Electronics"/>
    <n v="1108.5"/>
    <n v="2"/>
    <n v="0.19"/>
    <n v="0.27"/>
    <x v="1"/>
    <s v="CUST0096"/>
    <n v="2217"/>
  </r>
  <r>
    <n v="546"/>
    <d v="2024-04-10T00:00:00"/>
    <s v="Mouse"/>
    <s v="Accessories"/>
    <n v="705.63"/>
    <n v="5"/>
    <n v="0.04"/>
    <n v="0.36"/>
    <x v="0"/>
    <s v="CUST0049"/>
    <n v="3528.15"/>
  </r>
  <r>
    <n v="547"/>
    <d v="2024-12-19T00:00:00"/>
    <s v="Headphones"/>
    <s v="Accessories"/>
    <n v="825.96"/>
    <n v="3"/>
    <n v="0.04"/>
    <n v="0.28000000000000003"/>
    <x v="1"/>
    <s v="CUST0175"/>
    <n v="2477.88"/>
  </r>
  <r>
    <n v="548"/>
    <d v="2024-09-02T00:00:00"/>
    <s v="Tablet"/>
    <s v="Electronics"/>
    <n v="1090.1600000000001"/>
    <n v="5"/>
    <n v="0.14000000000000001"/>
    <n v="0.11"/>
    <x v="3"/>
    <s v="CUST0277"/>
    <n v="5450.8"/>
  </r>
  <r>
    <n v="549"/>
    <d v="2024-02-15T00:00:00"/>
    <s v="Monitor"/>
    <s v="Electronics"/>
    <n v="1191"/>
    <n v="4"/>
    <n v="0.02"/>
    <n v="0.3"/>
    <x v="0"/>
    <s v="CUST0080"/>
    <n v="4764"/>
  </r>
  <r>
    <n v="550"/>
    <d v="2024-04-17T00:00:00"/>
    <s v="Tablet"/>
    <s v="Electronics"/>
    <n v="75.83"/>
    <n v="1"/>
    <n v="0.28000000000000003"/>
    <n v="0.25"/>
    <x v="3"/>
    <s v="CUST0134"/>
    <n v="75.83"/>
  </r>
  <r>
    <n v="551"/>
    <d v="2024-08-03T00:00:00"/>
    <s v="Tablet"/>
    <s v="Electronics"/>
    <n v="738.03"/>
    <n v="2"/>
    <n v="0.15"/>
    <n v="0.26"/>
    <x v="0"/>
    <s v="CUST0209"/>
    <n v="1476.06"/>
  </r>
  <r>
    <n v="552"/>
    <d v="2024-08-29T00:00:00"/>
    <s v="Mouse"/>
    <s v="Accessories"/>
    <n v="675.8"/>
    <n v="3"/>
    <n v="0.15"/>
    <n v="0.25"/>
    <x v="0"/>
    <s v="CUST0261"/>
    <n v="2027.3999999999999"/>
  </r>
  <r>
    <n v="553"/>
    <d v="2024-06-23T00:00:00"/>
    <s v="Headphones"/>
    <s v="Accessories"/>
    <n v="1095.43"/>
    <n v="5"/>
    <n v="0.28999999999999998"/>
    <n v="0.22"/>
    <x v="2"/>
    <s v="CUST0024"/>
    <n v="5477.1500000000005"/>
  </r>
  <r>
    <n v="554"/>
    <d v="2024-11-24T00:00:00"/>
    <s v="Tablet"/>
    <s v="Electronics"/>
    <n v="1152.68"/>
    <n v="4"/>
    <n v="0.24"/>
    <n v="0.24"/>
    <x v="1"/>
    <s v="CUST0293"/>
    <n v="4610.72"/>
  </r>
  <r>
    <n v="555"/>
    <d v="2024-12-17T00:00:00"/>
    <s v="Keyboard"/>
    <s v="Accessories"/>
    <n v="112.72"/>
    <n v="5"/>
    <n v="0.13"/>
    <n v="0.35"/>
    <x v="3"/>
    <s v="CUST0297"/>
    <n v="563.6"/>
  </r>
  <r>
    <n v="556"/>
    <d v="2024-07-07T00:00:00"/>
    <s v="Monitor"/>
    <s v="Electronics"/>
    <n v="379.56"/>
    <n v="3"/>
    <n v="0.13"/>
    <n v="0.25"/>
    <x v="0"/>
    <s v="CUST0271"/>
    <n v="1138.68"/>
  </r>
  <r>
    <n v="557"/>
    <d v="2024-06-19T00:00:00"/>
    <s v="Monitor"/>
    <s v="Electronics"/>
    <n v="1391.41"/>
    <n v="2"/>
    <n v="0.14000000000000001"/>
    <n v="0.31"/>
    <x v="0"/>
    <s v="CUST0078"/>
    <n v="2782.82"/>
  </r>
  <r>
    <n v="558"/>
    <d v="2024-07-22T00:00:00"/>
    <s v="Mouse"/>
    <s v="Accessories"/>
    <n v="1311.27"/>
    <n v="2"/>
    <n v="0.04"/>
    <n v="0.19"/>
    <x v="3"/>
    <s v="CUST0060"/>
    <n v="2622.54"/>
  </r>
  <r>
    <n v="559"/>
    <d v="2024-10-29T00:00:00"/>
    <s v="Tablet"/>
    <s v="Electronics"/>
    <n v="1211.54"/>
    <n v="3"/>
    <n v="0.06"/>
    <n v="0.39"/>
    <x v="2"/>
    <s v="CUST0214"/>
    <n v="3634.62"/>
  </r>
  <r>
    <n v="560"/>
    <d v="2024-11-22T00:00:00"/>
    <s v="Mouse"/>
    <s v="Accessories"/>
    <n v="1486.06"/>
    <n v="2"/>
    <n v="0.2"/>
    <n v="0.35"/>
    <x v="1"/>
    <s v="CUST0150"/>
    <n v="2972.12"/>
  </r>
  <r>
    <n v="561"/>
    <d v="2024-01-01T00:00:00"/>
    <s v="Tablet"/>
    <s v="Electronics"/>
    <n v="28.42"/>
    <n v="3"/>
    <n v="0.22"/>
    <n v="0.35"/>
    <x v="1"/>
    <s v="CUST0245"/>
    <n v="85.26"/>
  </r>
  <r>
    <n v="562"/>
    <d v="2024-05-07T00:00:00"/>
    <s v="Mouse"/>
    <s v="Accessories"/>
    <n v="126.82"/>
    <n v="5"/>
    <n v="0.23"/>
    <n v="0.33"/>
    <x v="3"/>
    <s v="CUST0223"/>
    <n v="634.09999999999991"/>
  </r>
  <r>
    <n v="563"/>
    <d v="2024-04-13T00:00:00"/>
    <s v="Tablet"/>
    <s v="Electronics"/>
    <n v="1218.55"/>
    <n v="1"/>
    <n v="0.25"/>
    <n v="0.28000000000000003"/>
    <x v="3"/>
    <s v="CUST0234"/>
    <n v="1218.55"/>
  </r>
  <r>
    <n v="564"/>
    <d v="2024-12-23T00:00:00"/>
    <s v="Tablet"/>
    <s v="Electronics"/>
    <n v="613.66999999999996"/>
    <n v="2"/>
    <n v="0.02"/>
    <n v="0.22"/>
    <x v="3"/>
    <s v="CUST0101"/>
    <n v="1227.3399999999999"/>
  </r>
  <r>
    <n v="565"/>
    <d v="2024-10-16T00:00:00"/>
    <s v="Tablet"/>
    <s v="Electronics"/>
    <n v="476.55"/>
    <n v="3"/>
    <n v="0.19"/>
    <n v="0.27"/>
    <x v="2"/>
    <s v="CUST0031"/>
    <n v="1429.65"/>
  </r>
  <r>
    <n v="566"/>
    <d v="2024-05-24T00:00:00"/>
    <s v="Keyboard"/>
    <s v="Accessories"/>
    <n v="33.979999999999997"/>
    <n v="3"/>
    <n v="0.16"/>
    <n v="0.19"/>
    <x v="3"/>
    <s v="CUST0078"/>
    <n v="101.94"/>
  </r>
  <r>
    <n v="567"/>
    <d v="2024-11-17T00:00:00"/>
    <s v="Tablet"/>
    <s v="Electronics"/>
    <n v="763.42"/>
    <n v="2"/>
    <n v="7.0000000000000007E-2"/>
    <n v="0.24"/>
    <x v="3"/>
    <s v="CUST0023"/>
    <n v="1526.84"/>
  </r>
  <r>
    <n v="568"/>
    <d v="2024-10-16T00:00:00"/>
    <s v="Tablet"/>
    <s v="Electronics"/>
    <n v="132.53"/>
    <n v="5"/>
    <n v="0.2"/>
    <n v="0.16"/>
    <x v="3"/>
    <s v="CUST0096"/>
    <n v="662.65"/>
  </r>
  <r>
    <n v="569"/>
    <d v="2024-10-21T00:00:00"/>
    <s v="Laptop"/>
    <s v="Electronics"/>
    <n v="439.48"/>
    <n v="3"/>
    <n v="0.01"/>
    <n v="0.27"/>
    <x v="0"/>
    <s v="CUST0021"/>
    <n v="1318.44"/>
  </r>
  <r>
    <n v="570"/>
    <d v="2024-02-22T00:00:00"/>
    <s v="Keyboard"/>
    <s v="Accessories"/>
    <n v="358.39"/>
    <n v="1"/>
    <n v="7.0000000000000007E-2"/>
    <n v="0.11"/>
    <x v="1"/>
    <s v="CUST0242"/>
    <n v="358.39"/>
  </r>
  <r>
    <n v="571"/>
    <d v="2024-01-23T00:00:00"/>
    <s v="Monitor"/>
    <s v="Electronics"/>
    <n v="638.78"/>
    <n v="1"/>
    <n v="0.04"/>
    <n v="0.37"/>
    <x v="2"/>
    <s v="CUST0211"/>
    <n v="638.78"/>
  </r>
  <r>
    <n v="572"/>
    <d v="2024-02-21T00:00:00"/>
    <s v="Keyboard"/>
    <s v="Accessories"/>
    <n v="1303.73"/>
    <n v="2"/>
    <n v="0.18"/>
    <n v="0.28999999999999998"/>
    <x v="3"/>
    <s v="CUST0038"/>
    <n v="2607.46"/>
  </r>
  <r>
    <n v="573"/>
    <d v="2024-02-22T00:00:00"/>
    <s v="Headphones"/>
    <s v="Accessories"/>
    <n v="964.71"/>
    <n v="2"/>
    <n v="7.0000000000000007E-2"/>
    <n v="0.31"/>
    <x v="3"/>
    <s v="CUST0054"/>
    <n v="1929.42"/>
  </r>
  <r>
    <n v="574"/>
    <d v="2024-01-12T00:00:00"/>
    <s v="Monitor"/>
    <s v="Electronics"/>
    <n v="1210.8399999999999"/>
    <n v="4"/>
    <n v="0.04"/>
    <n v="0.33"/>
    <x v="0"/>
    <s v="CUST0159"/>
    <n v="4843.3599999999997"/>
  </r>
  <r>
    <n v="575"/>
    <d v="2024-03-15T00:00:00"/>
    <s v="Mouse"/>
    <s v="Accessories"/>
    <n v="757.63"/>
    <n v="2"/>
    <n v="0.04"/>
    <n v="0.28999999999999998"/>
    <x v="3"/>
    <s v="CUST0036"/>
    <n v="1515.26"/>
  </r>
  <r>
    <n v="576"/>
    <d v="2024-12-14T00:00:00"/>
    <s v="Headphones"/>
    <s v="Accessories"/>
    <n v="425.53"/>
    <n v="1"/>
    <n v="0.1"/>
    <n v="0.1"/>
    <x v="3"/>
    <s v="CUST0212"/>
    <n v="425.53"/>
  </r>
  <r>
    <n v="577"/>
    <d v="2024-11-20T00:00:00"/>
    <s v="Monitor"/>
    <s v="Electronics"/>
    <n v="94.11"/>
    <n v="1"/>
    <n v="0.02"/>
    <n v="0.35"/>
    <x v="1"/>
    <s v="CUST0039"/>
    <n v="94.11"/>
  </r>
  <r>
    <n v="578"/>
    <d v="2024-04-16T00:00:00"/>
    <s v="Monitor"/>
    <s v="Electronics"/>
    <n v="1412.16"/>
    <n v="5"/>
    <n v="0.28000000000000003"/>
    <n v="0.35"/>
    <x v="0"/>
    <s v="CUST0216"/>
    <n v="7060.8"/>
  </r>
  <r>
    <n v="579"/>
    <d v="2024-12-03T00:00:00"/>
    <s v="Mouse"/>
    <s v="Accessories"/>
    <n v="423.83"/>
    <n v="3"/>
    <n v="0.26"/>
    <n v="0.27"/>
    <x v="3"/>
    <s v="CUST0084"/>
    <n v="1271.49"/>
  </r>
  <r>
    <n v="580"/>
    <d v="2024-02-25T00:00:00"/>
    <s v="Tablet"/>
    <s v="Electronics"/>
    <n v="1340.51"/>
    <n v="5"/>
    <n v="0.13"/>
    <n v="0.21"/>
    <x v="2"/>
    <s v="CUST0205"/>
    <n v="6702.55"/>
  </r>
  <r>
    <n v="581"/>
    <d v="2024-11-11T00:00:00"/>
    <s v="Monitor"/>
    <s v="Electronics"/>
    <n v="1447.02"/>
    <n v="5"/>
    <n v="0.03"/>
    <n v="0.11"/>
    <x v="0"/>
    <s v="CUST0220"/>
    <n v="7235.1"/>
  </r>
  <r>
    <n v="582"/>
    <d v="2024-08-22T00:00:00"/>
    <s v="Headphones"/>
    <s v="Accessories"/>
    <n v="958.25"/>
    <n v="2"/>
    <n v="0.04"/>
    <n v="0.18"/>
    <x v="3"/>
    <s v="CUST0088"/>
    <n v="1916.5"/>
  </r>
  <r>
    <n v="583"/>
    <d v="2024-10-07T00:00:00"/>
    <s v="Headphones"/>
    <s v="Accessories"/>
    <n v="1007.92"/>
    <n v="1"/>
    <n v="0.08"/>
    <n v="0.14000000000000001"/>
    <x v="2"/>
    <s v="CUST0073"/>
    <n v="1007.92"/>
  </r>
  <r>
    <n v="584"/>
    <d v="2024-10-19T00:00:00"/>
    <s v="Tablet"/>
    <s v="Electronics"/>
    <n v="464.63"/>
    <n v="5"/>
    <n v="0.14000000000000001"/>
    <n v="0.28999999999999998"/>
    <x v="2"/>
    <s v="CUST0279"/>
    <n v="2323.15"/>
  </r>
  <r>
    <n v="585"/>
    <d v="2024-02-10T00:00:00"/>
    <s v="Headphones"/>
    <s v="Accessories"/>
    <n v="96.07"/>
    <n v="5"/>
    <n v="0.15"/>
    <n v="0.22"/>
    <x v="1"/>
    <s v="CUST0295"/>
    <n v="480.34999999999997"/>
  </r>
  <r>
    <n v="586"/>
    <d v="2024-12-26T00:00:00"/>
    <s v="Tablet"/>
    <s v="Electronics"/>
    <n v="727.05"/>
    <n v="2"/>
    <n v="0.19"/>
    <n v="0.33"/>
    <x v="0"/>
    <s v="CUST0135"/>
    <n v="1454.1"/>
  </r>
  <r>
    <n v="587"/>
    <d v="2024-04-09T00:00:00"/>
    <s v="Keyboard"/>
    <s v="Accessories"/>
    <n v="102.22"/>
    <n v="1"/>
    <n v="0.06"/>
    <n v="0.27"/>
    <x v="2"/>
    <s v="CUST0206"/>
    <n v="102.22"/>
  </r>
  <r>
    <n v="588"/>
    <d v="2024-04-09T00:00:00"/>
    <s v="Mouse"/>
    <s v="Accessories"/>
    <n v="1279.26"/>
    <n v="1"/>
    <n v="0.2"/>
    <n v="0.24"/>
    <x v="0"/>
    <s v="CUST0061"/>
    <n v="1279.26"/>
  </r>
  <r>
    <n v="589"/>
    <d v="2024-09-20T00:00:00"/>
    <s v="Headphones"/>
    <s v="Accessories"/>
    <n v="1024.77"/>
    <n v="5"/>
    <n v="0.01"/>
    <n v="0.22"/>
    <x v="0"/>
    <s v="CUST0128"/>
    <n v="5123.8500000000004"/>
  </r>
  <r>
    <n v="590"/>
    <d v="2024-05-28T00:00:00"/>
    <s v="Monitor"/>
    <s v="Electronics"/>
    <n v="986.17"/>
    <n v="2"/>
    <n v="0.22"/>
    <n v="0.39"/>
    <x v="3"/>
    <s v="CUST0280"/>
    <n v="1972.34"/>
  </r>
  <r>
    <n v="591"/>
    <d v="2024-08-14T00:00:00"/>
    <s v="Laptop"/>
    <s v="Electronics"/>
    <n v="1031.24"/>
    <n v="1"/>
    <n v="0.27"/>
    <n v="0.19"/>
    <x v="3"/>
    <s v="CUST0125"/>
    <n v="1031.24"/>
  </r>
  <r>
    <n v="592"/>
    <d v="2024-02-13T00:00:00"/>
    <s v="Keyboard"/>
    <s v="Accessories"/>
    <n v="1008.63"/>
    <n v="1"/>
    <n v="0.03"/>
    <n v="0.25"/>
    <x v="2"/>
    <s v="CUST0004"/>
    <n v="1008.63"/>
  </r>
  <r>
    <n v="593"/>
    <d v="2024-10-06T00:00:00"/>
    <s v="Monitor"/>
    <s v="Electronics"/>
    <n v="172.3"/>
    <n v="2"/>
    <n v="0"/>
    <n v="0.21"/>
    <x v="2"/>
    <s v="CUST0129"/>
    <n v="344.6"/>
  </r>
  <r>
    <n v="594"/>
    <d v="2024-04-20T00:00:00"/>
    <s v="Laptop"/>
    <s v="Electronics"/>
    <n v="1261.44"/>
    <n v="1"/>
    <n v="0.04"/>
    <n v="0.22"/>
    <x v="1"/>
    <s v="CUST0015"/>
    <n v="1261.44"/>
  </r>
  <r>
    <n v="595"/>
    <d v="2024-06-19T00:00:00"/>
    <s v="Headphones"/>
    <s v="Accessories"/>
    <n v="512.11"/>
    <n v="4"/>
    <n v="0.18"/>
    <n v="0.1"/>
    <x v="0"/>
    <s v="CUST0246"/>
    <n v="2048.44"/>
  </r>
  <r>
    <n v="596"/>
    <d v="2024-12-05T00:00:00"/>
    <s v="Laptop"/>
    <s v="Electronics"/>
    <n v="1319.53"/>
    <n v="2"/>
    <n v="0.16"/>
    <n v="0.3"/>
    <x v="2"/>
    <s v="CUST0233"/>
    <n v="2639.06"/>
  </r>
  <r>
    <n v="597"/>
    <d v="2024-10-09T00:00:00"/>
    <s v="Headphones"/>
    <s v="Accessories"/>
    <n v="696.01"/>
    <n v="1"/>
    <n v="0.16"/>
    <n v="0.39"/>
    <x v="2"/>
    <s v="CUST0258"/>
    <n v="696.01"/>
  </r>
  <r>
    <n v="598"/>
    <d v="2024-06-10T00:00:00"/>
    <s v="Headphones"/>
    <s v="Accessories"/>
    <n v="873.65"/>
    <n v="2"/>
    <n v="0.23"/>
    <n v="0.34"/>
    <x v="0"/>
    <s v="CUST0179"/>
    <n v="1747.3"/>
  </r>
  <r>
    <n v="599"/>
    <d v="2024-01-07T00:00:00"/>
    <s v="Laptop"/>
    <s v="Electronics"/>
    <n v="293.07"/>
    <n v="5"/>
    <n v="0.1"/>
    <n v="0.32"/>
    <x v="1"/>
    <s v="CUST0127"/>
    <n v="1465.35"/>
  </r>
  <r>
    <n v="600"/>
    <d v="2024-05-14T00:00:00"/>
    <s v="Monitor"/>
    <s v="Electronics"/>
    <n v="538.44000000000005"/>
    <n v="4"/>
    <n v="0"/>
    <n v="0.19"/>
    <x v="3"/>
    <s v="CUST0203"/>
    <n v="2153.7600000000002"/>
  </r>
  <r>
    <n v="601"/>
    <d v="2024-08-12T00:00:00"/>
    <s v="Keyboard"/>
    <s v="Accessories"/>
    <n v="1321.9"/>
    <n v="3"/>
    <n v="0.01"/>
    <n v="0.37"/>
    <x v="3"/>
    <s v="CUST0267"/>
    <n v="3965.7000000000003"/>
  </r>
  <r>
    <n v="602"/>
    <d v="2024-07-13T00:00:00"/>
    <s v="Mouse"/>
    <s v="Accessories"/>
    <n v="919.07"/>
    <n v="5"/>
    <n v="0.12"/>
    <n v="0.19"/>
    <x v="3"/>
    <s v="CUST0025"/>
    <n v="4595.3500000000004"/>
  </r>
  <r>
    <n v="603"/>
    <d v="2024-03-19T00:00:00"/>
    <s v="Keyboard"/>
    <s v="Accessories"/>
    <n v="1072.45"/>
    <n v="5"/>
    <n v="7.0000000000000007E-2"/>
    <n v="0.25"/>
    <x v="0"/>
    <s v="CUST0154"/>
    <n v="5362.25"/>
  </r>
  <r>
    <n v="604"/>
    <d v="2024-04-28T00:00:00"/>
    <s v="Laptop"/>
    <s v="Electronics"/>
    <n v="113.08"/>
    <n v="4"/>
    <n v="0.02"/>
    <n v="0.39"/>
    <x v="1"/>
    <s v="CUST0147"/>
    <n v="452.32"/>
  </r>
  <r>
    <n v="605"/>
    <d v="2024-01-28T00:00:00"/>
    <s v="Keyboard"/>
    <s v="Accessories"/>
    <n v="1183.1500000000001"/>
    <n v="4"/>
    <n v="0.16"/>
    <n v="0.39"/>
    <x v="2"/>
    <s v="CUST0184"/>
    <n v="4732.6000000000004"/>
  </r>
  <r>
    <n v="606"/>
    <d v="2024-12-27T00:00:00"/>
    <s v="Monitor"/>
    <s v="Electronics"/>
    <n v="1170.97"/>
    <n v="1"/>
    <n v="7.0000000000000007E-2"/>
    <n v="0.16"/>
    <x v="3"/>
    <s v="CUST0205"/>
    <n v="1170.97"/>
  </r>
  <r>
    <n v="607"/>
    <d v="2024-09-23T00:00:00"/>
    <s v="Headphones"/>
    <s v="Accessories"/>
    <n v="1346.71"/>
    <n v="1"/>
    <n v="0.23"/>
    <n v="0.27"/>
    <x v="2"/>
    <s v="CUST0202"/>
    <n v="1346.71"/>
  </r>
  <r>
    <n v="608"/>
    <d v="2024-11-16T00:00:00"/>
    <s v="Keyboard"/>
    <s v="Accessories"/>
    <n v="1472.94"/>
    <n v="4"/>
    <n v="0.12"/>
    <n v="0.3"/>
    <x v="2"/>
    <s v="CUST0253"/>
    <n v="5891.76"/>
  </r>
  <r>
    <n v="609"/>
    <d v="2024-02-26T00:00:00"/>
    <s v="Tablet"/>
    <s v="Electronics"/>
    <n v="534.16"/>
    <n v="4"/>
    <n v="0.1"/>
    <n v="0.32"/>
    <x v="2"/>
    <s v="CUST0125"/>
    <n v="2136.64"/>
  </r>
  <r>
    <n v="610"/>
    <d v="2024-01-05T00:00:00"/>
    <s v="Laptop"/>
    <s v="Electronics"/>
    <n v="1337.96"/>
    <n v="1"/>
    <n v="0.21"/>
    <n v="0.31"/>
    <x v="0"/>
    <s v="CUST0293"/>
    <n v="1337.96"/>
  </r>
  <r>
    <n v="611"/>
    <d v="2024-08-13T00:00:00"/>
    <s v="Headphones"/>
    <s v="Accessories"/>
    <n v="758.54"/>
    <n v="1"/>
    <n v="0.13"/>
    <n v="0.14000000000000001"/>
    <x v="3"/>
    <s v="CUST0228"/>
    <n v="758.54"/>
  </r>
  <r>
    <n v="612"/>
    <d v="2024-10-20T00:00:00"/>
    <s v="Keyboard"/>
    <s v="Accessories"/>
    <n v="381.79"/>
    <n v="5"/>
    <n v="0.28000000000000003"/>
    <n v="0.39"/>
    <x v="0"/>
    <s v="CUST0054"/>
    <n v="1908.95"/>
  </r>
  <r>
    <n v="613"/>
    <d v="2024-08-10T00:00:00"/>
    <s v="Monitor"/>
    <s v="Electronics"/>
    <n v="1394.77"/>
    <n v="2"/>
    <n v="0.16"/>
    <n v="0.15"/>
    <x v="2"/>
    <s v="CUST0124"/>
    <n v="2789.54"/>
  </r>
  <r>
    <n v="614"/>
    <d v="2024-04-17T00:00:00"/>
    <s v="Keyboard"/>
    <s v="Accessories"/>
    <n v="89.75"/>
    <n v="5"/>
    <n v="0.14000000000000001"/>
    <n v="0.37"/>
    <x v="2"/>
    <s v="CUST0079"/>
    <n v="448.75"/>
  </r>
  <r>
    <n v="615"/>
    <d v="2024-06-04T00:00:00"/>
    <s v="Headphones"/>
    <s v="Accessories"/>
    <n v="1269.3800000000001"/>
    <n v="3"/>
    <n v="0.24"/>
    <n v="0.36"/>
    <x v="0"/>
    <s v="CUST0168"/>
    <n v="3808.1400000000003"/>
  </r>
  <r>
    <n v="616"/>
    <d v="2024-02-17T00:00:00"/>
    <s v="Headphones"/>
    <s v="Accessories"/>
    <n v="997.19"/>
    <n v="1"/>
    <n v="0.06"/>
    <n v="0.39"/>
    <x v="1"/>
    <s v="CUST0261"/>
    <n v="997.19"/>
  </r>
  <r>
    <n v="617"/>
    <d v="2024-05-18T00:00:00"/>
    <s v="Keyboard"/>
    <s v="Accessories"/>
    <n v="624.84"/>
    <n v="3"/>
    <n v="0.28999999999999998"/>
    <n v="0.27"/>
    <x v="2"/>
    <s v="CUST0207"/>
    <n v="1874.52"/>
  </r>
  <r>
    <n v="618"/>
    <d v="2024-06-02T00:00:00"/>
    <s v="Mouse"/>
    <s v="Accessories"/>
    <n v="701.97"/>
    <n v="2"/>
    <n v="0.18"/>
    <n v="0.12"/>
    <x v="1"/>
    <s v="CUST0095"/>
    <n v="1403.94"/>
  </r>
  <r>
    <n v="619"/>
    <d v="2024-12-19T00:00:00"/>
    <s v="Mouse"/>
    <s v="Accessories"/>
    <n v="45.93"/>
    <n v="4"/>
    <n v="0.24"/>
    <n v="0.37"/>
    <x v="1"/>
    <s v="CUST0161"/>
    <n v="183.72"/>
  </r>
  <r>
    <n v="620"/>
    <d v="2024-09-03T00:00:00"/>
    <s v="Mouse"/>
    <s v="Accessories"/>
    <n v="1055.01"/>
    <n v="3"/>
    <n v="0.16"/>
    <n v="0.39"/>
    <x v="3"/>
    <s v="CUST0146"/>
    <n v="3165.0299999999997"/>
  </r>
  <r>
    <n v="621"/>
    <d v="2024-04-03T00:00:00"/>
    <s v="Laptop"/>
    <s v="Electronics"/>
    <n v="604.37"/>
    <n v="2"/>
    <n v="0.14000000000000001"/>
    <n v="0.32"/>
    <x v="1"/>
    <s v="CUST0280"/>
    <n v="1208.74"/>
  </r>
  <r>
    <n v="622"/>
    <d v="2024-12-07T00:00:00"/>
    <s v="Monitor"/>
    <s v="Electronics"/>
    <n v="969.91"/>
    <n v="1"/>
    <n v="0.05"/>
    <n v="0.27"/>
    <x v="1"/>
    <s v="CUST0147"/>
    <n v="969.91"/>
  </r>
  <r>
    <n v="623"/>
    <d v="2024-04-10T00:00:00"/>
    <s v="Keyboard"/>
    <s v="Accessories"/>
    <n v="1286.43"/>
    <n v="4"/>
    <n v="0"/>
    <n v="0.1"/>
    <x v="0"/>
    <s v="CUST0180"/>
    <n v="5145.72"/>
  </r>
  <r>
    <n v="624"/>
    <d v="2024-08-03T00:00:00"/>
    <s v="Tablet"/>
    <s v="Electronics"/>
    <n v="581.04999999999995"/>
    <n v="4"/>
    <n v="7.0000000000000007E-2"/>
    <n v="0.28999999999999998"/>
    <x v="2"/>
    <s v="CUST0300"/>
    <n v="2324.1999999999998"/>
  </r>
  <r>
    <n v="625"/>
    <d v="2024-10-04T00:00:00"/>
    <s v="Laptop"/>
    <s v="Electronics"/>
    <n v="1216.92"/>
    <n v="2"/>
    <n v="0.15"/>
    <n v="0.34"/>
    <x v="3"/>
    <s v="CUST0030"/>
    <n v="2433.84"/>
  </r>
  <r>
    <n v="626"/>
    <d v="2024-06-21T00:00:00"/>
    <s v="Monitor"/>
    <s v="Electronics"/>
    <n v="657.34"/>
    <n v="1"/>
    <n v="0.12"/>
    <n v="0.37"/>
    <x v="2"/>
    <s v="CUST0142"/>
    <n v="657.34"/>
  </r>
  <r>
    <n v="627"/>
    <d v="2024-02-03T00:00:00"/>
    <s v="Monitor"/>
    <s v="Electronics"/>
    <n v="199.79"/>
    <n v="1"/>
    <n v="0.05"/>
    <n v="0.4"/>
    <x v="1"/>
    <s v="CUST0187"/>
    <n v="199.79"/>
  </r>
  <r>
    <n v="628"/>
    <d v="2024-04-26T00:00:00"/>
    <s v="Keyboard"/>
    <s v="Accessories"/>
    <n v="1490.05"/>
    <n v="1"/>
    <n v="0.23"/>
    <n v="0.21"/>
    <x v="0"/>
    <s v="CUST0083"/>
    <n v="1490.05"/>
  </r>
  <r>
    <n v="629"/>
    <d v="2024-07-24T00:00:00"/>
    <s v="Keyboard"/>
    <s v="Accessories"/>
    <n v="73.11"/>
    <n v="3"/>
    <n v="0.28999999999999998"/>
    <n v="0.27"/>
    <x v="1"/>
    <s v="CUST0207"/>
    <n v="219.32999999999998"/>
  </r>
  <r>
    <n v="630"/>
    <d v="2024-03-31T00:00:00"/>
    <s v="Mouse"/>
    <s v="Accessories"/>
    <n v="942.51"/>
    <n v="5"/>
    <n v="0.08"/>
    <n v="0.27"/>
    <x v="2"/>
    <s v="CUST0106"/>
    <n v="4712.55"/>
  </r>
  <r>
    <n v="631"/>
    <d v="2024-12-30T00:00:00"/>
    <s v="Mouse"/>
    <s v="Accessories"/>
    <n v="638.02"/>
    <n v="1"/>
    <n v="7.0000000000000007E-2"/>
    <n v="0.16"/>
    <x v="0"/>
    <s v="CUST0174"/>
    <n v="638.02"/>
  </r>
  <r>
    <n v="632"/>
    <d v="2024-07-11T00:00:00"/>
    <s v="Headphones"/>
    <s v="Accessories"/>
    <n v="1462.2"/>
    <n v="2"/>
    <n v="0.25"/>
    <n v="0.33"/>
    <x v="3"/>
    <s v="CUST0083"/>
    <n v="2924.4"/>
  </r>
  <r>
    <n v="633"/>
    <d v="2024-03-08T00:00:00"/>
    <s v="Headphones"/>
    <s v="Accessories"/>
    <n v="283.45"/>
    <n v="2"/>
    <n v="0.2"/>
    <n v="0.17"/>
    <x v="2"/>
    <s v="CUST0295"/>
    <n v="566.9"/>
  </r>
  <r>
    <n v="634"/>
    <d v="2024-03-16T00:00:00"/>
    <s v="Monitor"/>
    <s v="Electronics"/>
    <n v="882.89"/>
    <n v="3"/>
    <n v="0.17"/>
    <n v="0.23"/>
    <x v="0"/>
    <s v="CUST0108"/>
    <n v="2648.67"/>
  </r>
  <r>
    <n v="635"/>
    <d v="2024-11-22T00:00:00"/>
    <s v="Laptop"/>
    <s v="Electronics"/>
    <n v="1144.19"/>
    <n v="3"/>
    <n v="0.04"/>
    <n v="0.23"/>
    <x v="1"/>
    <s v="CUST0077"/>
    <n v="3432.57"/>
  </r>
  <r>
    <n v="636"/>
    <d v="2024-12-27T00:00:00"/>
    <s v="Headphones"/>
    <s v="Accessories"/>
    <n v="1272.6300000000001"/>
    <n v="5"/>
    <n v="0.13"/>
    <n v="0.33"/>
    <x v="0"/>
    <s v="CUST0051"/>
    <n v="6363.1500000000005"/>
  </r>
  <r>
    <n v="637"/>
    <d v="2024-02-10T00:00:00"/>
    <s v="Laptop"/>
    <s v="Electronics"/>
    <n v="1336.11"/>
    <n v="2"/>
    <n v="0.06"/>
    <n v="0.28000000000000003"/>
    <x v="0"/>
    <s v="CUST0078"/>
    <n v="2672.22"/>
  </r>
  <r>
    <n v="638"/>
    <d v="2024-09-27T00:00:00"/>
    <s v="Monitor"/>
    <s v="Electronics"/>
    <n v="461.15"/>
    <n v="4"/>
    <n v="0.19"/>
    <n v="0.21"/>
    <x v="0"/>
    <s v="CUST0163"/>
    <n v="1844.6"/>
  </r>
  <r>
    <n v="639"/>
    <d v="2024-02-09T00:00:00"/>
    <s v="Headphones"/>
    <s v="Accessories"/>
    <n v="1322.26"/>
    <n v="1"/>
    <n v="0.12"/>
    <n v="0.34"/>
    <x v="0"/>
    <s v="CUST0050"/>
    <n v="1322.26"/>
  </r>
  <r>
    <n v="640"/>
    <d v="2024-01-04T00:00:00"/>
    <s v="Tablet"/>
    <s v="Electronics"/>
    <n v="95.27"/>
    <n v="4"/>
    <n v="0.21"/>
    <n v="0.33"/>
    <x v="3"/>
    <s v="CUST0270"/>
    <n v="381.08"/>
  </r>
  <r>
    <n v="641"/>
    <d v="2024-04-25T00:00:00"/>
    <s v="Laptop"/>
    <s v="Electronics"/>
    <n v="248.6"/>
    <n v="1"/>
    <n v="0.14000000000000001"/>
    <n v="0.11"/>
    <x v="2"/>
    <s v="CUST0069"/>
    <n v="248.6"/>
  </r>
  <r>
    <n v="642"/>
    <d v="2024-06-17T00:00:00"/>
    <s v="Headphones"/>
    <s v="Accessories"/>
    <n v="652.21"/>
    <n v="5"/>
    <n v="0.12"/>
    <n v="0.26"/>
    <x v="2"/>
    <s v="CUST0200"/>
    <n v="3261.05"/>
  </r>
  <r>
    <n v="643"/>
    <d v="2024-11-08T00:00:00"/>
    <s v="Monitor"/>
    <s v="Electronics"/>
    <n v="25.02"/>
    <n v="1"/>
    <n v="0.02"/>
    <n v="0.21"/>
    <x v="0"/>
    <s v="CUST0152"/>
    <n v="25.02"/>
  </r>
  <r>
    <n v="644"/>
    <d v="2024-06-27T00:00:00"/>
    <s v="Monitor"/>
    <s v="Electronics"/>
    <n v="1460.29"/>
    <n v="5"/>
    <n v="0.09"/>
    <n v="0.17"/>
    <x v="3"/>
    <s v="CUST0045"/>
    <n v="7301.45"/>
  </r>
  <r>
    <n v="645"/>
    <d v="2024-08-26T00:00:00"/>
    <s v="Tablet"/>
    <s v="Electronics"/>
    <n v="101.55"/>
    <n v="4"/>
    <n v="0.28999999999999998"/>
    <n v="0.17"/>
    <x v="1"/>
    <s v="CUST0012"/>
    <n v="406.2"/>
  </r>
  <r>
    <n v="646"/>
    <d v="2024-07-08T00:00:00"/>
    <s v="Keyboard"/>
    <s v="Accessories"/>
    <n v="638.52"/>
    <n v="5"/>
    <n v="0.13"/>
    <n v="0.19"/>
    <x v="1"/>
    <s v="CUST0001"/>
    <n v="3192.6"/>
  </r>
  <r>
    <n v="647"/>
    <d v="2024-02-16T00:00:00"/>
    <s v="Keyboard"/>
    <s v="Accessories"/>
    <n v="1231.5899999999999"/>
    <n v="3"/>
    <n v="0.08"/>
    <n v="0.14000000000000001"/>
    <x v="0"/>
    <s v="CUST0280"/>
    <n v="3694.7699999999995"/>
  </r>
  <r>
    <n v="648"/>
    <d v="2024-09-28T00:00:00"/>
    <s v="Keyboard"/>
    <s v="Accessories"/>
    <n v="1214.8699999999999"/>
    <n v="5"/>
    <n v="0.16"/>
    <n v="0.14000000000000001"/>
    <x v="0"/>
    <s v="CUST0176"/>
    <n v="6074.3499999999995"/>
  </r>
  <r>
    <n v="649"/>
    <d v="2024-09-11T00:00:00"/>
    <s v="Mouse"/>
    <s v="Accessories"/>
    <n v="140.72"/>
    <n v="2"/>
    <n v="0.21"/>
    <n v="0.15"/>
    <x v="2"/>
    <s v="CUST0001"/>
    <n v="281.44"/>
  </r>
  <r>
    <n v="650"/>
    <d v="2024-09-29T00:00:00"/>
    <s v="Monitor"/>
    <s v="Electronics"/>
    <n v="788.45"/>
    <n v="1"/>
    <n v="0.28999999999999998"/>
    <n v="0.11"/>
    <x v="1"/>
    <s v="CUST0263"/>
    <n v="788.45"/>
  </r>
  <r>
    <n v="651"/>
    <d v="2024-12-22T00:00:00"/>
    <s v="Mouse"/>
    <s v="Accessories"/>
    <n v="912.29"/>
    <n v="4"/>
    <n v="0.19"/>
    <n v="0.14000000000000001"/>
    <x v="1"/>
    <s v="CUST0219"/>
    <n v="3649.16"/>
  </r>
  <r>
    <n v="652"/>
    <d v="2024-03-21T00:00:00"/>
    <s v="Mouse"/>
    <s v="Accessories"/>
    <n v="176.21"/>
    <n v="1"/>
    <n v="0.21"/>
    <n v="0.15"/>
    <x v="1"/>
    <s v="CUST0263"/>
    <n v="176.21"/>
  </r>
  <r>
    <n v="653"/>
    <d v="2024-07-16T00:00:00"/>
    <s v="Tablet"/>
    <s v="Electronics"/>
    <n v="1401.06"/>
    <n v="2"/>
    <n v="0.21"/>
    <n v="0.31"/>
    <x v="3"/>
    <s v="CUST0177"/>
    <n v="2802.12"/>
  </r>
  <r>
    <n v="654"/>
    <d v="2024-03-21T00:00:00"/>
    <s v="Headphones"/>
    <s v="Accessories"/>
    <n v="1383.47"/>
    <n v="2"/>
    <n v="0.22"/>
    <n v="0.36"/>
    <x v="0"/>
    <s v="CUST0141"/>
    <n v="2766.94"/>
  </r>
  <r>
    <n v="655"/>
    <d v="2024-09-18T00:00:00"/>
    <s v="Laptop"/>
    <s v="Electronics"/>
    <n v="70.52"/>
    <n v="1"/>
    <n v="0.06"/>
    <n v="0.2"/>
    <x v="2"/>
    <s v="CUST0217"/>
    <n v="70.52"/>
  </r>
  <r>
    <n v="656"/>
    <d v="2024-03-16T00:00:00"/>
    <s v="Mouse"/>
    <s v="Accessories"/>
    <n v="1006.09"/>
    <n v="5"/>
    <n v="0.26"/>
    <n v="0.31"/>
    <x v="2"/>
    <s v="CUST0256"/>
    <n v="5030.45"/>
  </r>
  <r>
    <n v="657"/>
    <d v="2024-09-27T00:00:00"/>
    <s v="Mouse"/>
    <s v="Accessories"/>
    <n v="1014.81"/>
    <n v="5"/>
    <n v="0.28000000000000003"/>
    <n v="0.25"/>
    <x v="2"/>
    <s v="CUST0193"/>
    <n v="5074.0499999999993"/>
  </r>
  <r>
    <n v="658"/>
    <d v="2024-03-18T00:00:00"/>
    <s v="Mouse"/>
    <s v="Accessories"/>
    <n v="772.34"/>
    <n v="4"/>
    <n v="0.12"/>
    <n v="0.11"/>
    <x v="1"/>
    <s v="CUST0287"/>
    <n v="3089.36"/>
  </r>
  <r>
    <n v="659"/>
    <d v="2024-11-10T00:00:00"/>
    <s v="Monitor"/>
    <s v="Electronics"/>
    <n v="1062.96"/>
    <n v="2"/>
    <n v="0.13"/>
    <n v="0.17"/>
    <x v="1"/>
    <s v="CUST0060"/>
    <n v="2125.92"/>
  </r>
  <r>
    <n v="660"/>
    <d v="2024-07-11T00:00:00"/>
    <s v="Laptop"/>
    <s v="Electronics"/>
    <n v="764.1"/>
    <n v="1"/>
    <n v="0.16"/>
    <n v="0.26"/>
    <x v="3"/>
    <s v="CUST0220"/>
    <n v="764.1"/>
  </r>
  <r>
    <n v="661"/>
    <d v="2024-05-26T00:00:00"/>
    <s v="Keyboard"/>
    <s v="Accessories"/>
    <n v="480.53"/>
    <n v="5"/>
    <n v="0.28999999999999998"/>
    <n v="0.31"/>
    <x v="2"/>
    <s v="CUST0298"/>
    <n v="2402.6499999999996"/>
  </r>
  <r>
    <n v="662"/>
    <d v="2024-04-04T00:00:00"/>
    <s v="Monitor"/>
    <s v="Electronics"/>
    <n v="609.91999999999996"/>
    <n v="3"/>
    <n v="0.26"/>
    <n v="0.34"/>
    <x v="0"/>
    <s v="CUST0002"/>
    <n v="1829.7599999999998"/>
  </r>
  <r>
    <n v="663"/>
    <d v="2024-11-23T00:00:00"/>
    <s v="Tablet"/>
    <s v="Electronics"/>
    <n v="481.94"/>
    <n v="2"/>
    <n v="0.26"/>
    <n v="0.3"/>
    <x v="1"/>
    <s v="CUST0168"/>
    <n v="963.88"/>
  </r>
  <r>
    <n v="664"/>
    <d v="2024-06-27T00:00:00"/>
    <s v="Mouse"/>
    <s v="Accessories"/>
    <n v="394.44"/>
    <n v="3"/>
    <n v="0.26"/>
    <n v="0.39"/>
    <x v="1"/>
    <s v="CUST0259"/>
    <n v="1183.32"/>
  </r>
  <r>
    <n v="665"/>
    <d v="2024-02-22T00:00:00"/>
    <s v="Headphones"/>
    <s v="Accessories"/>
    <n v="42.93"/>
    <n v="4"/>
    <n v="0.06"/>
    <n v="0.11"/>
    <x v="2"/>
    <s v="CUST0110"/>
    <n v="171.72"/>
  </r>
  <r>
    <n v="666"/>
    <d v="2024-01-05T00:00:00"/>
    <s v="Headphones"/>
    <s v="Accessories"/>
    <n v="477.5"/>
    <n v="3"/>
    <n v="0.12"/>
    <n v="0.38"/>
    <x v="0"/>
    <s v="CUST0086"/>
    <n v="1432.5"/>
  </r>
  <r>
    <n v="667"/>
    <d v="2024-11-13T00:00:00"/>
    <s v="Monitor"/>
    <s v="Electronics"/>
    <n v="1105.73"/>
    <n v="5"/>
    <n v="0.02"/>
    <n v="0.34"/>
    <x v="0"/>
    <s v="CUST0292"/>
    <n v="5528.65"/>
  </r>
  <r>
    <n v="668"/>
    <d v="2024-02-16T00:00:00"/>
    <s v="Tablet"/>
    <s v="Electronics"/>
    <n v="148.78"/>
    <n v="1"/>
    <n v="0.21"/>
    <n v="0.2"/>
    <x v="2"/>
    <s v="CUST0206"/>
    <n v="148.78"/>
  </r>
  <r>
    <n v="669"/>
    <d v="2024-03-19T00:00:00"/>
    <s v="Tablet"/>
    <s v="Electronics"/>
    <n v="587.63"/>
    <n v="1"/>
    <n v="0.19"/>
    <n v="0.3"/>
    <x v="1"/>
    <s v="CUST0208"/>
    <n v="587.63"/>
  </r>
  <r>
    <n v="670"/>
    <d v="2024-01-29T00:00:00"/>
    <s v="Keyboard"/>
    <s v="Accessories"/>
    <n v="196.38"/>
    <n v="3"/>
    <n v="0.24"/>
    <n v="0.28000000000000003"/>
    <x v="0"/>
    <s v="CUST0188"/>
    <n v="589.14"/>
  </r>
  <r>
    <n v="671"/>
    <d v="2024-03-02T00:00:00"/>
    <s v="Headphones"/>
    <s v="Accessories"/>
    <n v="504.75"/>
    <n v="2"/>
    <n v="0.27"/>
    <n v="0.1"/>
    <x v="0"/>
    <s v="CUST0075"/>
    <n v="1009.5"/>
  </r>
  <r>
    <n v="672"/>
    <d v="2024-11-13T00:00:00"/>
    <s v="Mouse"/>
    <s v="Accessories"/>
    <n v="790.08"/>
    <n v="1"/>
    <n v="0.03"/>
    <n v="0.26"/>
    <x v="3"/>
    <s v="CUST0033"/>
    <n v="790.08"/>
  </r>
  <r>
    <n v="673"/>
    <d v="2024-08-06T00:00:00"/>
    <s v="Tablet"/>
    <s v="Electronics"/>
    <n v="844.36"/>
    <n v="2"/>
    <n v="0.21"/>
    <n v="0.23"/>
    <x v="0"/>
    <s v="CUST0052"/>
    <n v="1688.72"/>
  </r>
  <r>
    <n v="674"/>
    <d v="2024-10-17T00:00:00"/>
    <s v="Headphones"/>
    <s v="Accessories"/>
    <n v="791.56"/>
    <n v="3"/>
    <n v="0.18"/>
    <n v="0.26"/>
    <x v="3"/>
    <s v="CUST0248"/>
    <n v="2374.6799999999998"/>
  </r>
  <r>
    <n v="675"/>
    <d v="2024-06-02T00:00:00"/>
    <s v="Monitor"/>
    <s v="Electronics"/>
    <n v="421.09"/>
    <n v="4"/>
    <n v="0.16"/>
    <n v="0.31"/>
    <x v="3"/>
    <s v="CUST0295"/>
    <n v="1684.36"/>
  </r>
  <r>
    <n v="676"/>
    <d v="2024-02-10T00:00:00"/>
    <s v="Mouse"/>
    <s v="Accessories"/>
    <n v="915.36"/>
    <n v="3"/>
    <n v="0.02"/>
    <n v="0.39"/>
    <x v="1"/>
    <s v="CUST0007"/>
    <n v="2746.08"/>
  </r>
  <r>
    <n v="677"/>
    <d v="2024-11-17T00:00:00"/>
    <s v="Laptop"/>
    <s v="Electronics"/>
    <n v="160.80000000000001"/>
    <n v="4"/>
    <n v="0.14000000000000001"/>
    <n v="0.13"/>
    <x v="2"/>
    <s v="CUST0047"/>
    <n v="643.20000000000005"/>
  </r>
  <r>
    <n v="678"/>
    <d v="2024-10-09T00:00:00"/>
    <s v="Headphones"/>
    <s v="Accessories"/>
    <n v="419.42"/>
    <n v="2"/>
    <n v="0.21"/>
    <n v="0.21"/>
    <x v="2"/>
    <s v="CUST0117"/>
    <n v="838.84"/>
  </r>
  <r>
    <n v="679"/>
    <d v="2024-04-09T00:00:00"/>
    <s v="Monitor"/>
    <s v="Electronics"/>
    <n v="1022.14"/>
    <n v="1"/>
    <n v="0.2"/>
    <n v="0.28000000000000003"/>
    <x v="1"/>
    <s v="CUST0240"/>
    <n v="1022.14"/>
  </r>
  <r>
    <n v="680"/>
    <d v="2024-06-02T00:00:00"/>
    <s v="Headphones"/>
    <s v="Accessories"/>
    <n v="393.05"/>
    <n v="2"/>
    <n v="0.26"/>
    <n v="0.38"/>
    <x v="1"/>
    <s v="CUST0166"/>
    <n v="786.1"/>
  </r>
  <r>
    <n v="681"/>
    <d v="2024-02-17T00:00:00"/>
    <s v="Tablet"/>
    <s v="Electronics"/>
    <n v="687.4"/>
    <n v="5"/>
    <n v="0.28000000000000003"/>
    <n v="0.32"/>
    <x v="2"/>
    <s v="CUST0235"/>
    <n v="3437"/>
  </r>
  <r>
    <n v="682"/>
    <d v="2024-10-10T00:00:00"/>
    <s v="Keyboard"/>
    <s v="Accessories"/>
    <n v="34.86"/>
    <n v="4"/>
    <n v="0.21"/>
    <n v="0.3"/>
    <x v="3"/>
    <s v="CUST0209"/>
    <n v="139.44"/>
  </r>
  <r>
    <n v="683"/>
    <d v="2024-06-12T00:00:00"/>
    <s v="Monitor"/>
    <s v="Electronics"/>
    <n v="950.54"/>
    <n v="5"/>
    <n v="0.17"/>
    <n v="0.18"/>
    <x v="1"/>
    <s v="CUST0144"/>
    <n v="4752.7"/>
  </r>
  <r>
    <n v="684"/>
    <d v="2024-04-15T00:00:00"/>
    <s v="Laptop"/>
    <s v="Electronics"/>
    <n v="1410.99"/>
    <n v="2"/>
    <n v="0.12"/>
    <n v="0.35"/>
    <x v="1"/>
    <s v="CUST0183"/>
    <n v="2821.98"/>
  </r>
  <r>
    <n v="685"/>
    <d v="2024-06-26T00:00:00"/>
    <s v="Headphones"/>
    <s v="Accessories"/>
    <n v="1115.6300000000001"/>
    <n v="1"/>
    <n v="0.15"/>
    <n v="0.32"/>
    <x v="1"/>
    <s v="CUST0044"/>
    <n v="1115.6300000000001"/>
  </r>
  <r>
    <n v="686"/>
    <d v="2024-09-27T00:00:00"/>
    <s v="Monitor"/>
    <s v="Electronics"/>
    <n v="161.62"/>
    <n v="3"/>
    <n v="0.03"/>
    <n v="0.34"/>
    <x v="2"/>
    <s v="CUST0024"/>
    <n v="484.86"/>
  </r>
  <r>
    <n v="687"/>
    <d v="2024-09-04T00:00:00"/>
    <s v="Mouse"/>
    <s v="Accessories"/>
    <n v="1230.45"/>
    <n v="3"/>
    <n v="0.22"/>
    <n v="0.1"/>
    <x v="0"/>
    <s v="CUST0093"/>
    <n v="3691.3500000000004"/>
  </r>
  <r>
    <n v="688"/>
    <d v="2024-07-30T00:00:00"/>
    <s v="Keyboard"/>
    <s v="Accessories"/>
    <n v="363.03"/>
    <n v="3"/>
    <n v="0.19"/>
    <n v="0.17"/>
    <x v="2"/>
    <s v="CUST0182"/>
    <n v="1089.0899999999999"/>
  </r>
  <r>
    <n v="689"/>
    <d v="2024-02-16T00:00:00"/>
    <s v="Mouse"/>
    <s v="Accessories"/>
    <n v="325.94"/>
    <n v="1"/>
    <n v="0.25"/>
    <n v="0.12"/>
    <x v="3"/>
    <s v="CUST0236"/>
    <n v="325.94"/>
  </r>
  <r>
    <n v="690"/>
    <d v="2024-10-16T00:00:00"/>
    <s v="Monitor"/>
    <s v="Electronics"/>
    <n v="68.52"/>
    <n v="1"/>
    <n v="0.06"/>
    <n v="0.18"/>
    <x v="1"/>
    <s v="CUST0267"/>
    <n v="68.52"/>
  </r>
  <r>
    <n v="691"/>
    <d v="2024-06-09T00:00:00"/>
    <s v="Keyboard"/>
    <s v="Accessories"/>
    <n v="117.23"/>
    <n v="5"/>
    <n v="0.13"/>
    <n v="0.16"/>
    <x v="2"/>
    <s v="CUST0053"/>
    <n v="586.15"/>
  </r>
  <r>
    <n v="692"/>
    <d v="2024-12-03T00:00:00"/>
    <s v="Tablet"/>
    <s v="Electronics"/>
    <n v="1017.49"/>
    <n v="2"/>
    <n v="0.11"/>
    <n v="0.2"/>
    <x v="1"/>
    <s v="CUST0085"/>
    <n v="2034.98"/>
  </r>
  <r>
    <n v="693"/>
    <d v="2024-06-22T00:00:00"/>
    <s v="Mouse"/>
    <s v="Accessories"/>
    <n v="1212.51"/>
    <n v="3"/>
    <n v="0.15"/>
    <n v="0.18"/>
    <x v="2"/>
    <s v="CUST0046"/>
    <n v="3637.5299999999997"/>
  </r>
  <r>
    <n v="694"/>
    <d v="2024-09-20T00:00:00"/>
    <s v="Keyboard"/>
    <s v="Accessories"/>
    <n v="611.24"/>
    <n v="1"/>
    <n v="0.08"/>
    <n v="0.4"/>
    <x v="0"/>
    <s v="CUST0130"/>
    <n v="611.24"/>
  </r>
  <r>
    <n v="695"/>
    <d v="2024-04-16T00:00:00"/>
    <s v="Keyboard"/>
    <s v="Accessories"/>
    <n v="125.98"/>
    <n v="2"/>
    <n v="0.13"/>
    <n v="0.16"/>
    <x v="3"/>
    <s v="CUST0074"/>
    <n v="251.96"/>
  </r>
  <r>
    <n v="696"/>
    <d v="2024-02-06T00:00:00"/>
    <s v="Keyboard"/>
    <s v="Accessories"/>
    <n v="819.04"/>
    <n v="1"/>
    <n v="0.26"/>
    <n v="0.37"/>
    <x v="2"/>
    <s v="CUST0122"/>
    <n v="819.04"/>
  </r>
  <r>
    <n v="697"/>
    <d v="2024-12-28T00:00:00"/>
    <s v="Headphones"/>
    <s v="Accessories"/>
    <n v="1008.03"/>
    <n v="3"/>
    <n v="0.14000000000000001"/>
    <n v="0.28999999999999998"/>
    <x v="1"/>
    <s v="CUST0095"/>
    <n v="3024.09"/>
  </r>
  <r>
    <n v="698"/>
    <d v="2024-04-16T00:00:00"/>
    <s v="Laptop"/>
    <s v="Electronics"/>
    <n v="965.98"/>
    <n v="2"/>
    <n v="0.15"/>
    <n v="0.26"/>
    <x v="3"/>
    <s v="CUST0077"/>
    <n v="1931.96"/>
  </r>
  <r>
    <n v="699"/>
    <d v="2024-05-18T00:00:00"/>
    <s v="Keyboard"/>
    <s v="Accessories"/>
    <n v="1406.01"/>
    <n v="4"/>
    <n v="0.13"/>
    <n v="0.25"/>
    <x v="2"/>
    <s v="CUST0296"/>
    <n v="5624.04"/>
  </r>
  <r>
    <n v="700"/>
    <d v="2024-03-01T00:00:00"/>
    <s v="Keyboard"/>
    <s v="Accessories"/>
    <n v="908.3"/>
    <n v="5"/>
    <n v="0.09"/>
    <n v="0.25"/>
    <x v="2"/>
    <s v="CUST0146"/>
    <n v="4541.5"/>
  </r>
  <r>
    <n v="701"/>
    <d v="2024-01-03T00:00:00"/>
    <s v="Headphones"/>
    <s v="Accessories"/>
    <n v="717.55"/>
    <n v="4"/>
    <n v="0.06"/>
    <n v="0.18"/>
    <x v="2"/>
    <s v="CUST0076"/>
    <n v="2870.2"/>
  </r>
  <r>
    <n v="702"/>
    <d v="2024-12-06T00:00:00"/>
    <s v="Laptop"/>
    <s v="Electronics"/>
    <n v="629.26"/>
    <n v="2"/>
    <n v="0.12"/>
    <n v="0.38"/>
    <x v="3"/>
    <s v="CUST0012"/>
    <n v="1258.52"/>
  </r>
  <r>
    <n v="703"/>
    <d v="2024-08-29T00:00:00"/>
    <s v="Monitor"/>
    <s v="Electronics"/>
    <n v="261.68"/>
    <n v="5"/>
    <n v="0.24"/>
    <n v="0.38"/>
    <x v="3"/>
    <s v="CUST0151"/>
    <n v="1308.4000000000001"/>
  </r>
  <r>
    <n v="704"/>
    <d v="2024-03-09T00:00:00"/>
    <s v="Tablet"/>
    <s v="Electronics"/>
    <n v="1325.49"/>
    <n v="5"/>
    <n v="0.25"/>
    <n v="0.23"/>
    <x v="3"/>
    <s v="CUST0144"/>
    <n v="6627.45"/>
  </r>
  <r>
    <n v="705"/>
    <d v="2024-01-23T00:00:00"/>
    <s v="Laptop"/>
    <s v="Electronics"/>
    <n v="36.75"/>
    <n v="4"/>
    <n v="7.0000000000000007E-2"/>
    <n v="0.25"/>
    <x v="1"/>
    <s v="CUST0090"/>
    <n v="147"/>
  </r>
  <r>
    <n v="706"/>
    <d v="2024-06-01T00:00:00"/>
    <s v="Headphones"/>
    <s v="Accessories"/>
    <n v="400.95"/>
    <n v="5"/>
    <n v="0.11"/>
    <n v="0.35"/>
    <x v="1"/>
    <s v="CUST0183"/>
    <n v="2004.75"/>
  </r>
  <r>
    <n v="707"/>
    <d v="2024-12-27T00:00:00"/>
    <s v="Monitor"/>
    <s v="Electronics"/>
    <n v="1246.47"/>
    <n v="5"/>
    <n v="0.1"/>
    <n v="0.21"/>
    <x v="1"/>
    <s v="CUST0184"/>
    <n v="6232.35"/>
  </r>
  <r>
    <n v="708"/>
    <d v="2024-01-06T00:00:00"/>
    <s v="Headphones"/>
    <s v="Accessories"/>
    <n v="425.46"/>
    <n v="1"/>
    <n v="0.1"/>
    <n v="0.37"/>
    <x v="3"/>
    <s v="CUST0186"/>
    <n v="425.46"/>
  </r>
  <r>
    <n v="709"/>
    <d v="2024-09-17T00:00:00"/>
    <s v="Keyboard"/>
    <s v="Accessories"/>
    <n v="841.22"/>
    <n v="3"/>
    <n v="0.1"/>
    <n v="0.26"/>
    <x v="1"/>
    <s v="CUST0156"/>
    <n v="2523.66"/>
  </r>
  <r>
    <n v="710"/>
    <d v="2024-11-08T00:00:00"/>
    <s v="Keyboard"/>
    <s v="Accessories"/>
    <n v="1023.49"/>
    <n v="1"/>
    <n v="0.1"/>
    <n v="0.24"/>
    <x v="3"/>
    <s v="CUST0254"/>
    <n v="1023.49"/>
  </r>
  <r>
    <n v="711"/>
    <d v="2024-05-20T00:00:00"/>
    <s v="Mouse"/>
    <s v="Accessories"/>
    <n v="44.55"/>
    <n v="1"/>
    <n v="0.05"/>
    <n v="0.3"/>
    <x v="2"/>
    <s v="CUST0237"/>
    <n v="44.55"/>
  </r>
  <r>
    <n v="712"/>
    <d v="2024-09-03T00:00:00"/>
    <s v="Headphones"/>
    <s v="Accessories"/>
    <n v="1089.8499999999999"/>
    <n v="4"/>
    <n v="7.0000000000000007E-2"/>
    <n v="0.14000000000000001"/>
    <x v="1"/>
    <s v="CUST0096"/>
    <n v="4359.3999999999996"/>
  </r>
  <r>
    <n v="713"/>
    <d v="2024-04-03T00:00:00"/>
    <s v="Mouse"/>
    <s v="Accessories"/>
    <n v="27.94"/>
    <n v="2"/>
    <n v="0.16"/>
    <n v="0.34"/>
    <x v="3"/>
    <s v="CUST0156"/>
    <n v="55.88"/>
  </r>
  <r>
    <n v="714"/>
    <d v="2024-05-01T00:00:00"/>
    <s v="Keyboard"/>
    <s v="Accessories"/>
    <n v="263.01"/>
    <n v="1"/>
    <n v="0.1"/>
    <n v="0.22"/>
    <x v="0"/>
    <s v="CUST0141"/>
    <n v="263.01"/>
  </r>
  <r>
    <n v="715"/>
    <d v="2024-08-21T00:00:00"/>
    <s v="Tablet"/>
    <s v="Electronics"/>
    <n v="547.54999999999995"/>
    <n v="4"/>
    <n v="0.17"/>
    <n v="0.14000000000000001"/>
    <x v="2"/>
    <s v="CUST0116"/>
    <n v="2190.1999999999998"/>
  </r>
  <r>
    <n v="716"/>
    <d v="2024-05-31T00:00:00"/>
    <s v="Headphones"/>
    <s v="Accessories"/>
    <n v="921.44"/>
    <n v="3"/>
    <n v="0.1"/>
    <n v="0.32"/>
    <x v="2"/>
    <s v="CUST0218"/>
    <n v="2764.32"/>
  </r>
  <r>
    <n v="717"/>
    <d v="2024-01-19T00:00:00"/>
    <s v="Mouse"/>
    <s v="Accessories"/>
    <n v="934.04"/>
    <n v="5"/>
    <n v="0.12"/>
    <n v="0.33"/>
    <x v="0"/>
    <s v="CUST0042"/>
    <n v="4670.2"/>
  </r>
  <r>
    <n v="718"/>
    <d v="2024-05-20T00:00:00"/>
    <s v="Keyboard"/>
    <s v="Accessories"/>
    <n v="1026.49"/>
    <n v="2"/>
    <n v="0.05"/>
    <n v="0.25"/>
    <x v="1"/>
    <s v="CUST0137"/>
    <n v="2052.98"/>
  </r>
  <r>
    <n v="719"/>
    <d v="2024-02-17T00:00:00"/>
    <s v="Tablet"/>
    <s v="Electronics"/>
    <n v="1309.03"/>
    <n v="2"/>
    <n v="0.01"/>
    <n v="0.38"/>
    <x v="3"/>
    <s v="CUST0242"/>
    <n v="2618.06"/>
  </r>
  <r>
    <n v="720"/>
    <d v="2024-10-08T00:00:00"/>
    <s v="Tablet"/>
    <s v="Electronics"/>
    <n v="918.32"/>
    <n v="5"/>
    <n v="0.1"/>
    <n v="0.14000000000000001"/>
    <x v="2"/>
    <s v="CUST0179"/>
    <n v="4591.6000000000004"/>
  </r>
  <r>
    <n v="721"/>
    <d v="2024-01-07T00:00:00"/>
    <s v="Headphones"/>
    <s v="Accessories"/>
    <n v="780.62"/>
    <n v="5"/>
    <n v="0.12"/>
    <n v="0.37"/>
    <x v="0"/>
    <s v="CUST0139"/>
    <n v="3903.1"/>
  </r>
  <r>
    <n v="722"/>
    <d v="2024-06-19T00:00:00"/>
    <s v="Keyboard"/>
    <s v="Accessories"/>
    <n v="1165.1600000000001"/>
    <n v="5"/>
    <n v="0.23"/>
    <n v="0.28000000000000003"/>
    <x v="2"/>
    <s v="CUST0294"/>
    <n v="5825.8"/>
  </r>
  <r>
    <n v="723"/>
    <d v="2024-10-08T00:00:00"/>
    <s v="Monitor"/>
    <s v="Electronics"/>
    <n v="126.84"/>
    <n v="5"/>
    <n v="0.12"/>
    <n v="0.37"/>
    <x v="2"/>
    <s v="CUST0043"/>
    <n v="634.20000000000005"/>
  </r>
  <r>
    <n v="724"/>
    <d v="2024-11-07T00:00:00"/>
    <s v="Headphones"/>
    <s v="Accessories"/>
    <n v="398.58"/>
    <n v="1"/>
    <n v="0.22"/>
    <n v="0.31"/>
    <x v="3"/>
    <s v="CUST0218"/>
    <n v="398.58"/>
  </r>
  <r>
    <n v="725"/>
    <d v="2024-12-29T00:00:00"/>
    <s v="Laptop"/>
    <s v="Electronics"/>
    <n v="1258.27"/>
    <n v="1"/>
    <n v="0.26"/>
    <n v="0.16"/>
    <x v="0"/>
    <s v="CUST0111"/>
    <n v="1258.27"/>
  </r>
  <r>
    <n v="726"/>
    <d v="2024-05-26T00:00:00"/>
    <s v="Tablet"/>
    <s v="Electronics"/>
    <n v="517.1"/>
    <n v="1"/>
    <n v="0.16"/>
    <n v="0.25"/>
    <x v="0"/>
    <s v="CUST0157"/>
    <n v="517.1"/>
  </r>
  <r>
    <n v="727"/>
    <d v="2024-01-30T00:00:00"/>
    <s v="Mouse"/>
    <s v="Accessories"/>
    <n v="1286.0899999999999"/>
    <n v="5"/>
    <n v="0.15"/>
    <n v="0.1"/>
    <x v="2"/>
    <s v="CUST0041"/>
    <n v="6430.45"/>
  </r>
  <r>
    <n v="728"/>
    <d v="2024-08-11T00:00:00"/>
    <s v="Headphones"/>
    <s v="Accessories"/>
    <n v="980.47"/>
    <n v="2"/>
    <n v="0.27"/>
    <n v="0.16"/>
    <x v="2"/>
    <s v="CUST0209"/>
    <n v="1960.94"/>
  </r>
  <r>
    <n v="729"/>
    <d v="2024-11-30T00:00:00"/>
    <s v="Tablet"/>
    <s v="Electronics"/>
    <n v="86.93"/>
    <n v="4"/>
    <n v="0.05"/>
    <n v="0.32"/>
    <x v="3"/>
    <s v="CUST0187"/>
    <n v="347.72"/>
  </r>
  <r>
    <n v="730"/>
    <d v="2024-11-28T00:00:00"/>
    <s v="Monitor"/>
    <s v="Electronics"/>
    <n v="123.18"/>
    <n v="1"/>
    <n v="0.28999999999999998"/>
    <n v="0.24"/>
    <x v="2"/>
    <s v="CUST0078"/>
    <n v="123.18"/>
  </r>
  <r>
    <n v="731"/>
    <d v="2024-08-08T00:00:00"/>
    <s v="Laptop"/>
    <s v="Electronics"/>
    <n v="1210.6300000000001"/>
    <n v="4"/>
    <n v="0.3"/>
    <n v="0.27"/>
    <x v="0"/>
    <s v="CUST0202"/>
    <n v="4842.5200000000004"/>
  </r>
  <r>
    <n v="732"/>
    <d v="2024-02-28T00:00:00"/>
    <s v="Headphones"/>
    <s v="Accessories"/>
    <n v="683.42"/>
    <n v="3"/>
    <n v="0.11"/>
    <n v="0.21"/>
    <x v="3"/>
    <s v="CUST0078"/>
    <n v="2050.2599999999998"/>
  </r>
  <r>
    <n v="733"/>
    <d v="2024-05-01T00:00:00"/>
    <s v="Tablet"/>
    <s v="Electronics"/>
    <n v="1067.29"/>
    <n v="4"/>
    <n v="0.14000000000000001"/>
    <n v="0.32"/>
    <x v="1"/>
    <s v="CUST0156"/>
    <n v="4269.16"/>
  </r>
  <r>
    <n v="734"/>
    <d v="2024-09-12T00:00:00"/>
    <s v="Mouse"/>
    <s v="Accessories"/>
    <n v="541.16999999999996"/>
    <n v="3"/>
    <n v="0.11"/>
    <n v="0.35"/>
    <x v="0"/>
    <s v="CUST0235"/>
    <n v="1623.5099999999998"/>
  </r>
  <r>
    <n v="735"/>
    <d v="2024-07-25T00:00:00"/>
    <s v="Headphones"/>
    <s v="Accessories"/>
    <n v="738.88"/>
    <n v="4"/>
    <n v="0.19"/>
    <n v="0.13"/>
    <x v="2"/>
    <s v="CUST0244"/>
    <n v="2955.52"/>
  </r>
  <r>
    <n v="736"/>
    <d v="2024-12-22T00:00:00"/>
    <s v="Laptop"/>
    <s v="Electronics"/>
    <n v="96.77"/>
    <n v="4"/>
    <n v="0.23"/>
    <n v="0.28000000000000003"/>
    <x v="2"/>
    <s v="CUST0107"/>
    <n v="387.08"/>
  </r>
  <r>
    <n v="737"/>
    <d v="2024-07-29T00:00:00"/>
    <s v="Tablet"/>
    <s v="Electronics"/>
    <n v="793.58"/>
    <n v="2"/>
    <n v="0.23"/>
    <n v="0.1"/>
    <x v="1"/>
    <s v="CUST0200"/>
    <n v="1587.16"/>
  </r>
  <r>
    <n v="738"/>
    <d v="2024-08-07T00:00:00"/>
    <s v="Monitor"/>
    <s v="Electronics"/>
    <n v="940.2"/>
    <n v="5"/>
    <n v="0.12"/>
    <n v="0.3"/>
    <x v="0"/>
    <s v="CUST0052"/>
    <n v="4701"/>
  </r>
  <r>
    <n v="739"/>
    <d v="2024-10-03T00:00:00"/>
    <s v="Headphones"/>
    <s v="Accessories"/>
    <n v="601.36"/>
    <n v="2"/>
    <n v="0.27"/>
    <n v="0.33"/>
    <x v="0"/>
    <s v="CUST0276"/>
    <n v="1202.72"/>
  </r>
  <r>
    <n v="740"/>
    <d v="2024-03-02T00:00:00"/>
    <s v="Keyboard"/>
    <s v="Accessories"/>
    <n v="989.85"/>
    <n v="4"/>
    <n v="0.26"/>
    <n v="0.26"/>
    <x v="3"/>
    <s v="CUST0016"/>
    <n v="3959.4"/>
  </r>
  <r>
    <n v="741"/>
    <d v="2024-01-16T00:00:00"/>
    <s v="Headphones"/>
    <s v="Accessories"/>
    <n v="255.8"/>
    <n v="2"/>
    <n v="0.12"/>
    <n v="0.31"/>
    <x v="2"/>
    <s v="CUST0070"/>
    <n v="511.6"/>
  </r>
  <r>
    <n v="742"/>
    <d v="2024-04-03T00:00:00"/>
    <s v="Tablet"/>
    <s v="Electronics"/>
    <n v="323.32"/>
    <n v="3"/>
    <n v="0.06"/>
    <n v="0.28000000000000003"/>
    <x v="3"/>
    <s v="CUST0215"/>
    <n v="969.96"/>
  </r>
  <r>
    <n v="743"/>
    <d v="2024-03-21T00:00:00"/>
    <s v="Keyboard"/>
    <s v="Accessories"/>
    <n v="1306.24"/>
    <n v="2"/>
    <n v="0.15"/>
    <n v="0.16"/>
    <x v="3"/>
    <s v="CUST0009"/>
    <n v="2612.48"/>
  </r>
  <r>
    <n v="744"/>
    <d v="2024-05-25T00:00:00"/>
    <s v="Headphones"/>
    <s v="Accessories"/>
    <n v="887.39"/>
    <n v="2"/>
    <n v="0.11"/>
    <n v="0.35"/>
    <x v="2"/>
    <s v="CUST0042"/>
    <n v="1774.78"/>
  </r>
  <r>
    <n v="745"/>
    <d v="2024-08-26T00:00:00"/>
    <s v="Tablet"/>
    <s v="Electronics"/>
    <n v="1438.78"/>
    <n v="1"/>
    <n v="0.08"/>
    <n v="0.31"/>
    <x v="2"/>
    <s v="CUST0115"/>
    <n v="1438.78"/>
  </r>
  <r>
    <n v="746"/>
    <d v="2024-06-21T00:00:00"/>
    <s v="Keyboard"/>
    <s v="Accessories"/>
    <n v="964.22"/>
    <n v="3"/>
    <n v="0.19"/>
    <n v="0.2"/>
    <x v="3"/>
    <s v="CUST0049"/>
    <n v="2892.66"/>
  </r>
  <r>
    <n v="747"/>
    <d v="2024-12-21T00:00:00"/>
    <s v="Laptop"/>
    <s v="Electronics"/>
    <n v="1243.23"/>
    <n v="5"/>
    <n v="0.21"/>
    <n v="0.17"/>
    <x v="1"/>
    <s v="CUST0257"/>
    <n v="6216.15"/>
  </r>
  <r>
    <n v="748"/>
    <d v="2024-10-05T00:00:00"/>
    <s v="Keyboard"/>
    <s v="Accessories"/>
    <n v="1240.06"/>
    <n v="2"/>
    <n v="0.2"/>
    <n v="0.34"/>
    <x v="1"/>
    <s v="CUST0182"/>
    <n v="2480.12"/>
  </r>
  <r>
    <n v="749"/>
    <d v="2024-06-09T00:00:00"/>
    <s v="Keyboard"/>
    <s v="Accessories"/>
    <n v="1475.38"/>
    <n v="4"/>
    <n v="0.23"/>
    <n v="0.32"/>
    <x v="2"/>
    <s v="CUST0089"/>
    <n v="5901.52"/>
  </r>
  <r>
    <n v="750"/>
    <d v="2024-04-05T00:00:00"/>
    <s v="Mouse"/>
    <s v="Accessories"/>
    <n v="662.71"/>
    <n v="1"/>
    <n v="0.14000000000000001"/>
    <n v="0.18"/>
    <x v="1"/>
    <s v="CUST0165"/>
    <n v="662.71"/>
  </r>
  <r>
    <n v="751"/>
    <d v="2024-06-24T00:00:00"/>
    <s v="Laptop"/>
    <s v="Electronics"/>
    <n v="384.01"/>
    <n v="5"/>
    <n v="0.19"/>
    <n v="0.36"/>
    <x v="0"/>
    <s v="CUST0235"/>
    <n v="1920.05"/>
  </r>
  <r>
    <n v="752"/>
    <d v="2024-04-13T00:00:00"/>
    <s v="Mouse"/>
    <s v="Accessories"/>
    <n v="501.47"/>
    <n v="3"/>
    <n v="0.15"/>
    <n v="0.32"/>
    <x v="1"/>
    <s v="CUST0084"/>
    <n v="1504.41"/>
  </r>
  <r>
    <n v="753"/>
    <d v="2024-06-30T00:00:00"/>
    <s v="Laptop"/>
    <s v="Electronics"/>
    <n v="1008.49"/>
    <n v="2"/>
    <n v="0.25"/>
    <n v="0.17"/>
    <x v="2"/>
    <s v="CUST0050"/>
    <n v="2016.98"/>
  </r>
  <r>
    <n v="754"/>
    <d v="2024-10-13T00:00:00"/>
    <s v="Tablet"/>
    <s v="Electronics"/>
    <n v="1067.5899999999999"/>
    <n v="3"/>
    <n v="0.3"/>
    <n v="0.2"/>
    <x v="2"/>
    <s v="CUST0098"/>
    <n v="3202.7699999999995"/>
  </r>
  <r>
    <n v="755"/>
    <d v="2024-06-11T00:00:00"/>
    <s v="Headphones"/>
    <s v="Accessories"/>
    <n v="1206.99"/>
    <n v="5"/>
    <n v="0.26"/>
    <n v="0.4"/>
    <x v="0"/>
    <s v="CUST0222"/>
    <n v="6034.95"/>
  </r>
  <r>
    <n v="756"/>
    <d v="2024-07-05T00:00:00"/>
    <s v="Headphones"/>
    <s v="Accessories"/>
    <n v="867.46"/>
    <n v="5"/>
    <n v="0.1"/>
    <n v="0.39"/>
    <x v="3"/>
    <s v="CUST0169"/>
    <n v="4337.3"/>
  </r>
  <r>
    <n v="757"/>
    <d v="2024-10-17T00:00:00"/>
    <s v="Headphones"/>
    <s v="Accessories"/>
    <n v="1277.54"/>
    <n v="3"/>
    <n v="0"/>
    <n v="0.12"/>
    <x v="2"/>
    <s v="CUST0299"/>
    <n v="3832.62"/>
  </r>
  <r>
    <n v="758"/>
    <d v="2024-07-01T00:00:00"/>
    <s v="Tablet"/>
    <s v="Electronics"/>
    <n v="48.22"/>
    <n v="2"/>
    <n v="0.21"/>
    <n v="0.19"/>
    <x v="1"/>
    <s v="CUST0227"/>
    <n v="96.44"/>
  </r>
  <r>
    <n v="759"/>
    <d v="2024-07-15T00:00:00"/>
    <s v="Keyboard"/>
    <s v="Accessories"/>
    <n v="1259.75"/>
    <n v="3"/>
    <n v="0"/>
    <n v="0.38"/>
    <x v="0"/>
    <s v="CUST0070"/>
    <n v="3779.25"/>
  </r>
  <r>
    <n v="760"/>
    <d v="2024-01-29T00:00:00"/>
    <s v="Monitor"/>
    <s v="Electronics"/>
    <n v="1300.04"/>
    <n v="2"/>
    <n v="0.12"/>
    <n v="0.12"/>
    <x v="1"/>
    <s v="CUST0035"/>
    <n v="2600.08"/>
  </r>
  <r>
    <n v="761"/>
    <d v="2024-06-01T00:00:00"/>
    <s v="Mouse"/>
    <s v="Accessories"/>
    <n v="1141.18"/>
    <n v="3"/>
    <n v="0.2"/>
    <n v="0.14000000000000001"/>
    <x v="3"/>
    <s v="CUST0201"/>
    <n v="3423.54"/>
  </r>
  <r>
    <n v="762"/>
    <d v="2024-07-01T00:00:00"/>
    <s v="Tablet"/>
    <s v="Electronics"/>
    <n v="362.59"/>
    <n v="3"/>
    <n v="0.26"/>
    <n v="0.21"/>
    <x v="3"/>
    <s v="CUST0103"/>
    <n v="1087.77"/>
  </r>
  <r>
    <n v="763"/>
    <d v="2024-02-19T00:00:00"/>
    <s v="Tablet"/>
    <s v="Electronics"/>
    <n v="937.33"/>
    <n v="3"/>
    <n v="0.14000000000000001"/>
    <n v="0.23"/>
    <x v="1"/>
    <s v="CUST0263"/>
    <n v="2811.9900000000002"/>
  </r>
  <r>
    <n v="764"/>
    <d v="2024-01-14T00:00:00"/>
    <s v="Headphones"/>
    <s v="Accessories"/>
    <n v="983.03"/>
    <n v="1"/>
    <n v="0.14000000000000001"/>
    <n v="0.38"/>
    <x v="2"/>
    <s v="CUST0051"/>
    <n v="983.03"/>
  </r>
  <r>
    <n v="765"/>
    <d v="2024-06-30T00:00:00"/>
    <s v="Monitor"/>
    <s v="Electronics"/>
    <n v="103.69"/>
    <n v="3"/>
    <n v="0.25"/>
    <n v="0.21"/>
    <x v="3"/>
    <s v="CUST0296"/>
    <n v="311.07"/>
  </r>
  <r>
    <n v="766"/>
    <d v="2024-02-28T00:00:00"/>
    <s v="Laptop"/>
    <s v="Electronics"/>
    <n v="575.36"/>
    <n v="3"/>
    <n v="0.05"/>
    <n v="0.25"/>
    <x v="1"/>
    <s v="CUST0062"/>
    <n v="1726.08"/>
  </r>
  <r>
    <n v="767"/>
    <d v="2024-11-16T00:00:00"/>
    <s v="Tablet"/>
    <s v="Electronics"/>
    <n v="1053.28"/>
    <n v="1"/>
    <n v="0.02"/>
    <n v="0.27"/>
    <x v="0"/>
    <s v="CUST0007"/>
    <n v="1053.28"/>
  </r>
  <r>
    <n v="768"/>
    <d v="2024-08-01T00:00:00"/>
    <s v="Keyboard"/>
    <s v="Accessories"/>
    <n v="963.01"/>
    <n v="4"/>
    <n v="0.12"/>
    <n v="0.16"/>
    <x v="3"/>
    <s v="CUST0200"/>
    <n v="3852.04"/>
  </r>
  <r>
    <n v="769"/>
    <d v="2024-04-21T00:00:00"/>
    <s v="Laptop"/>
    <s v="Electronics"/>
    <n v="880.1"/>
    <n v="1"/>
    <n v="0.25"/>
    <n v="0.15"/>
    <x v="3"/>
    <s v="CUST0004"/>
    <n v="880.1"/>
  </r>
  <r>
    <n v="770"/>
    <d v="2024-04-27T00:00:00"/>
    <s v="Laptop"/>
    <s v="Electronics"/>
    <n v="61.83"/>
    <n v="3"/>
    <n v="0.21"/>
    <n v="0.35"/>
    <x v="3"/>
    <s v="CUST0286"/>
    <n v="185.49"/>
  </r>
  <r>
    <n v="771"/>
    <d v="2024-01-13T00:00:00"/>
    <s v="Tablet"/>
    <s v="Electronics"/>
    <n v="1036.4100000000001"/>
    <n v="3"/>
    <n v="0.19"/>
    <n v="0.39"/>
    <x v="1"/>
    <s v="CUST0175"/>
    <n v="3109.2300000000005"/>
  </r>
  <r>
    <n v="772"/>
    <d v="2024-01-26T00:00:00"/>
    <s v="Tablet"/>
    <s v="Electronics"/>
    <n v="251.69"/>
    <n v="5"/>
    <n v="0.25"/>
    <n v="0.28999999999999998"/>
    <x v="3"/>
    <s v="CUST0281"/>
    <n v="1258.45"/>
  </r>
  <r>
    <n v="773"/>
    <d v="2024-01-08T00:00:00"/>
    <s v="Headphones"/>
    <s v="Accessories"/>
    <n v="1117.33"/>
    <n v="4"/>
    <n v="0.11"/>
    <n v="0.12"/>
    <x v="2"/>
    <s v="CUST0255"/>
    <n v="4469.32"/>
  </r>
  <r>
    <n v="774"/>
    <d v="2024-04-25T00:00:00"/>
    <s v="Mouse"/>
    <s v="Accessories"/>
    <n v="123.13"/>
    <n v="2"/>
    <n v="0.03"/>
    <n v="0.28000000000000003"/>
    <x v="3"/>
    <s v="CUST0258"/>
    <n v="246.26"/>
  </r>
  <r>
    <n v="775"/>
    <d v="2024-08-26T00:00:00"/>
    <s v="Laptop"/>
    <s v="Electronics"/>
    <n v="388.27"/>
    <n v="3"/>
    <n v="0.06"/>
    <n v="0.36"/>
    <x v="3"/>
    <s v="CUST0071"/>
    <n v="1164.81"/>
  </r>
  <r>
    <n v="776"/>
    <d v="2024-03-13T00:00:00"/>
    <s v="Headphones"/>
    <s v="Accessories"/>
    <n v="1033.0899999999999"/>
    <n v="3"/>
    <n v="0.22"/>
    <n v="0.19"/>
    <x v="3"/>
    <s v="CUST0012"/>
    <n v="3099.2699999999995"/>
  </r>
  <r>
    <n v="777"/>
    <d v="2024-08-10T00:00:00"/>
    <s v="Laptop"/>
    <s v="Electronics"/>
    <n v="1495.93"/>
    <n v="4"/>
    <n v="0.06"/>
    <n v="0.31"/>
    <x v="2"/>
    <s v="CUST0037"/>
    <n v="5983.72"/>
  </r>
  <r>
    <n v="778"/>
    <d v="2024-08-18T00:00:00"/>
    <s v="Mouse"/>
    <s v="Accessories"/>
    <n v="1460.74"/>
    <n v="5"/>
    <n v="0.02"/>
    <n v="0.2"/>
    <x v="1"/>
    <s v="CUST0032"/>
    <n v="7303.7"/>
  </r>
  <r>
    <n v="779"/>
    <d v="2024-12-15T00:00:00"/>
    <s v="Mouse"/>
    <s v="Accessories"/>
    <n v="667.21"/>
    <n v="4"/>
    <n v="0.25"/>
    <n v="0.36"/>
    <x v="2"/>
    <s v="CUST0257"/>
    <n v="2668.84"/>
  </r>
  <r>
    <n v="780"/>
    <d v="2024-02-27T00:00:00"/>
    <s v="Tablet"/>
    <s v="Electronics"/>
    <n v="476.43"/>
    <n v="3"/>
    <n v="0.24"/>
    <n v="0.22"/>
    <x v="3"/>
    <s v="CUST0104"/>
    <n v="1429.29"/>
  </r>
  <r>
    <n v="781"/>
    <d v="2024-02-21T00:00:00"/>
    <s v="Laptop"/>
    <s v="Electronics"/>
    <n v="363.31"/>
    <n v="4"/>
    <n v="0.02"/>
    <n v="0.38"/>
    <x v="1"/>
    <s v="CUST0175"/>
    <n v="1453.24"/>
  </r>
  <r>
    <n v="782"/>
    <d v="2024-10-22T00:00:00"/>
    <s v="Tablet"/>
    <s v="Electronics"/>
    <n v="671.72"/>
    <n v="4"/>
    <n v="0.28999999999999998"/>
    <n v="0.33"/>
    <x v="1"/>
    <s v="CUST0101"/>
    <n v="2686.88"/>
  </r>
  <r>
    <n v="783"/>
    <d v="2024-04-19T00:00:00"/>
    <s v="Headphones"/>
    <s v="Accessories"/>
    <n v="193.79"/>
    <n v="4"/>
    <n v="0.08"/>
    <n v="0.34"/>
    <x v="2"/>
    <s v="CUST0246"/>
    <n v="775.16"/>
  </r>
  <r>
    <n v="784"/>
    <d v="2024-02-08T00:00:00"/>
    <s v="Headphones"/>
    <s v="Accessories"/>
    <n v="955.11"/>
    <n v="5"/>
    <n v="7.0000000000000007E-2"/>
    <n v="0.14000000000000001"/>
    <x v="1"/>
    <s v="CUST0137"/>
    <n v="4775.55"/>
  </r>
  <r>
    <n v="785"/>
    <d v="2024-04-10T00:00:00"/>
    <s v="Headphones"/>
    <s v="Accessories"/>
    <n v="564.25"/>
    <n v="4"/>
    <n v="0.2"/>
    <n v="0.12"/>
    <x v="1"/>
    <s v="CUST0069"/>
    <n v="2257"/>
  </r>
  <r>
    <n v="786"/>
    <d v="2024-12-09T00:00:00"/>
    <s v="Headphones"/>
    <s v="Accessories"/>
    <n v="275.92"/>
    <n v="4"/>
    <n v="0.04"/>
    <n v="0.2"/>
    <x v="1"/>
    <s v="CUST0111"/>
    <n v="1103.68"/>
  </r>
  <r>
    <n v="787"/>
    <d v="2024-10-28T00:00:00"/>
    <s v="Monitor"/>
    <s v="Electronics"/>
    <n v="253.51"/>
    <n v="2"/>
    <n v="0.25"/>
    <n v="0.31"/>
    <x v="2"/>
    <s v="CUST0213"/>
    <n v="507.02"/>
  </r>
  <r>
    <n v="788"/>
    <d v="2024-05-07T00:00:00"/>
    <s v="Monitor"/>
    <s v="Electronics"/>
    <n v="1210.6099999999999"/>
    <n v="5"/>
    <n v="0.14000000000000001"/>
    <n v="0.33"/>
    <x v="0"/>
    <s v="CUST0139"/>
    <n v="6053.0499999999993"/>
  </r>
  <r>
    <n v="789"/>
    <d v="2024-12-08T00:00:00"/>
    <s v="Laptop"/>
    <s v="Electronics"/>
    <n v="237.52"/>
    <n v="3"/>
    <n v="0"/>
    <n v="0.15"/>
    <x v="1"/>
    <s v="CUST0061"/>
    <n v="712.56000000000006"/>
  </r>
  <r>
    <n v="790"/>
    <d v="2024-07-02T00:00:00"/>
    <s v="Headphones"/>
    <s v="Accessories"/>
    <n v="146.35"/>
    <n v="2"/>
    <n v="0.25"/>
    <n v="0.12"/>
    <x v="1"/>
    <s v="CUST0290"/>
    <n v="292.7"/>
  </r>
  <r>
    <n v="791"/>
    <d v="2024-04-15T00:00:00"/>
    <s v="Keyboard"/>
    <s v="Accessories"/>
    <n v="561.62"/>
    <n v="5"/>
    <n v="0.1"/>
    <n v="0.26"/>
    <x v="3"/>
    <s v="CUST0258"/>
    <n v="2808.1"/>
  </r>
  <r>
    <n v="792"/>
    <d v="2024-05-27T00:00:00"/>
    <s v="Laptop"/>
    <s v="Electronics"/>
    <n v="487.97"/>
    <n v="5"/>
    <n v="0.3"/>
    <n v="0.37"/>
    <x v="3"/>
    <s v="CUST0016"/>
    <n v="2439.8500000000004"/>
  </r>
  <r>
    <n v="793"/>
    <d v="2024-11-27T00:00:00"/>
    <s v="Headphones"/>
    <s v="Accessories"/>
    <n v="48.34"/>
    <n v="5"/>
    <n v="0.15"/>
    <n v="0.32"/>
    <x v="2"/>
    <s v="CUST0191"/>
    <n v="241.70000000000002"/>
  </r>
  <r>
    <n v="794"/>
    <d v="2024-02-17T00:00:00"/>
    <s v="Laptop"/>
    <s v="Electronics"/>
    <n v="737.69"/>
    <n v="3"/>
    <n v="0.2"/>
    <n v="0.14000000000000001"/>
    <x v="0"/>
    <s v="CUST0066"/>
    <n v="2213.0700000000002"/>
  </r>
  <r>
    <n v="795"/>
    <d v="2024-12-30T00:00:00"/>
    <s v="Headphones"/>
    <s v="Accessories"/>
    <n v="625.04"/>
    <n v="4"/>
    <n v="0.12"/>
    <n v="0.25"/>
    <x v="2"/>
    <s v="CUST0170"/>
    <n v="2500.16"/>
  </r>
  <r>
    <n v="796"/>
    <d v="2024-07-06T00:00:00"/>
    <s v="Monitor"/>
    <s v="Electronics"/>
    <n v="1428.38"/>
    <n v="5"/>
    <n v="0.15"/>
    <n v="0.32"/>
    <x v="1"/>
    <s v="CUST0009"/>
    <n v="7141.9000000000005"/>
  </r>
  <r>
    <n v="797"/>
    <d v="2024-11-28T00:00:00"/>
    <s v="Monitor"/>
    <s v="Electronics"/>
    <n v="747.2"/>
    <n v="4"/>
    <n v="0.28999999999999998"/>
    <n v="0.38"/>
    <x v="2"/>
    <s v="CUST0031"/>
    <n v="2988.8"/>
  </r>
  <r>
    <n v="798"/>
    <d v="2024-05-10T00:00:00"/>
    <s v="Mouse"/>
    <s v="Accessories"/>
    <n v="1000.96"/>
    <n v="4"/>
    <n v="0.05"/>
    <n v="0.36"/>
    <x v="1"/>
    <s v="CUST0035"/>
    <n v="4003.84"/>
  </r>
  <r>
    <n v="799"/>
    <d v="2024-07-18T00:00:00"/>
    <s v="Laptop"/>
    <s v="Electronics"/>
    <n v="294.69"/>
    <n v="2"/>
    <n v="0.27"/>
    <n v="0.28000000000000003"/>
    <x v="0"/>
    <s v="CUST0217"/>
    <n v="589.38"/>
  </r>
  <r>
    <n v="800"/>
    <d v="2024-09-12T00:00:00"/>
    <s v="Tablet"/>
    <s v="Electronics"/>
    <n v="849.18"/>
    <n v="1"/>
    <n v="0.24"/>
    <n v="0.18"/>
    <x v="3"/>
    <s v="CUST0282"/>
    <n v="849.18"/>
  </r>
  <r>
    <n v="801"/>
    <d v="2024-11-20T00:00:00"/>
    <s v="Monitor"/>
    <s v="Electronics"/>
    <n v="153.35"/>
    <n v="1"/>
    <n v="0.22"/>
    <n v="0.27"/>
    <x v="3"/>
    <s v="CUST0181"/>
    <n v="153.35"/>
  </r>
  <r>
    <n v="802"/>
    <d v="2024-07-31T00:00:00"/>
    <s v="Laptop"/>
    <s v="Electronics"/>
    <n v="283.31"/>
    <n v="1"/>
    <n v="0.01"/>
    <n v="0.18"/>
    <x v="0"/>
    <s v="CUST0233"/>
    <n v="283.31"/>
  </r>
  <r>
    <n v="803"/>
    <d v="2024-04-23T00:00:00"/>
    <s v="Keyboard"/>
    <s v="Accessories"/>
    <n v="1314.26"/>
    <n v="4"/>
    <n v="0"/>
    <n v="0.36"/>
    <x v="0"/>
    <s v="CUST0138"/>
    <n v="5257.04"/>
  </r>
  <r>
    <n v="804"/>
    <d v="2024-09-29T00:00:00"/>
    <s v="Monitor"/>
    <s v="Electronics"/>
    <n v="103.93"/>
    <n v="4"/>
    <n v="0.23"/>
    <n v="0.15"/>
    <x v="3"/>
    <s v="CUST0280"/>
    <n v="415.72"/>
  </r>
  <r>
    <n v="805"/>
    <d v="2024-11-23T00:00:00"/>
    <s v="Laptop"/>
    <s v="Electronics"/>
    <n v="458.57"/>
    <n v="2"/>
    <n v="0.28000000000000003"/>
    <n v="0.38"/>
    <x v="3"/>
    <s v="CUST0200"/>
    <n v="917.14"/>
  </r>
  <r>
    <n v="806"/>
    <d v="2024-08-16T00:00:00"/>
    <s v="Laptop"/>
    <s v="Electronics"/>
    <n v="331.12"/>
    <n v="2"/>
    <n v="0.24"/>
    <n v="0.28000000000000003"/>
    <x v="0"/>
    <s v="CUST0134"/>
    <n v="662.24"/>
  </r>
  <r>
    <n v="807"/>
    <d v="2024-09-02T00:00:00"/>
    <s v="Monitor"/>
    <s v="Electronics"/>
    <n v="712.79"/>
    <n v="1"/>
    <n v="0.21"/>
    <n v="0.28000000000000003"/>
    <x v="1"/>
    <s v="CUST0029"/>
    <n v="712.79"/>
  </r>
  <r>
    <n v="808"/>
    <d v="2024-08-08T00:00:00"/>
    <s v="Laptop"/>
    <s v="Electronics"/>
    <n v="659.23"/>
    <n v="1"/>
    <n v="0.21"/>
    <n v="0.38"/>
    <x v="3"/>
    <s v="CUST0215"/>
    <n v="659.23"/>
  </r>
  <r>
    <n v="809"/>
    <d v="2024-05-28T00:00:00"/>
    <s v="Keyboard"/>
    <s v="Accessories"/>
    <n v="1069.48"/>
    <n v="2"/>
    <n v="0.05"/>
    <n v="0.11"/>
    <x v="2"/>
    <s v="CUST0209"/>
    <n v="2138.96"/>
  </r>
  <r>
    <n v="810"/>
    <d v="2024-07-19T00:00:00"/>
    <s v="Tablet"/>
    <s v="Electronics"/>
    <n v="92.04"/>
    <n v="1"/>
    <n v="0.15"/>
    <n v="0.28000000000000003"/>
    <x v="2"/>
    <s v="CUST0262"/>
    <n v="92.04"/>
  </r>
  <r>
    <n v="811"/>
    <d v="2024-06-28T00:00:00"/>
    <s v="Laptop"/>
    <s v="Electronics"/>
    <n v="715.79"/>
    <n v="4"/>
    <n v="0.15"/>
    <n v="0.12"/>
    <x v="3"/>
    <s v="CUST0001"/>
    <n v="2863.16"/>
  </r>
  <r>
    <n v="812"/>
    <d v="2024-01-01T00:00:00"/>
    <s v="Laptop"/>
    <s v="Electronics"/>
    <n v="435.74"/>
    <n v="1"/>
    <n v="0.13"/>
    <n v="0.35"/>
    <x v="2"/>
    <s v="CUST0195"/>
    <n v="435.74"/>
  </r>
  <r>
    <n v="813"/>
    <d v="2024-09-27T00:00:00"/>
    <s v="Tablet"/>
    <s v="Electronics"/>
    <n v="1199.1099999999999"/>
    <n v="3"/>
    <n v="0.13"/>
    <n v="0.17"/>
    <x v="0"/>
    <s v="CUST0069"/>
    <n v="3597.33"/>
  </r>
  <r>
    <n v="814"/>
    <d v="2024-03-12T00:00:00"/>
    <s v="Keyboard"/>
    <s v="Accessories"/>
    <n v="711.88"/>
    <n v="5"/>
    <n v="0.03"/>
    <n v="0.28000000000000003"/>
    <x v="1"/>
    <s v="CUST0015"/>
    <n v="3559.4"/>
  </r>
  <r>
    <n v="815"/>
    <d v="2024-07-08T00:00:00"/>
    <s v="Laptop"/>
    <s v="Electronics"/>
    <n v="1385.49"/>
    <n v="4"/>
    <n v="0.11"/>
    <n v="0.34"/>
    <x v="0"/>
    <s v="CUST0188"/>
    <n v="5541.96"/>
  </r>
  <r>
    <n v="816"/>
    <d v="2024-08-08T00:00:00"/>
    <s v="Mouse"/>
    <s v="Accessories"/>
    <n v="106.9"/>
    <n v="3"/>
    <n v="0.2"/>
    <n v="0.16"/>
    <x v="2"/>
    <s v="CUST0157"/>
    <n v="320.70000000000005"/>
  </r>
  <r>
    <n v="817"/>
    <d v="2024-11-05T00:00:00"/>
    <s v="Laptop"/>
    <s v="Electronics"/>
    <n v="1288.33"/>
    <n v="2"/>
    <n v="0.1"/>
    <n v="0.32"/>
    <x v="3"/>
    <s v="CUST0225"/>
    <n v="2576.66"/>
  </r>
  <r>
    <n v="818"/>
    <d v="2024-10-31T00:00:00"/>
    <s v="Tablet"/>
    <s v="Electronics"/>
    <n v="154.13"/>
    <n v="1"/>
    <n v="7.0000000000000007E-2"/>
    <n v="0.2"/>
    <x v="0"/>
    <s v="CUST0009"/>
    <n v="154.13"/>
  </r>
  <r>
    <n v="819"/>
    <d v="2024-06-04T00:00:00"/>
    <s v="Laptop"/>
    <s v="Electronics"/>
    <n v="515"/>
    <n v="2"/>
    <n v="0.2"/>
    <n v="0.38"/>
    <x v="2"/>
    <s v="CUST0195"/>
    <n v="1030"/>
  </r>
  <r>
    <n v="820"/>
    <d v="2024-02-07T00:00:00"/>
    <s v="Tablet"/>
    <s v="Electronics"/>
    <n v="906.01"/>
    <n v="3"/>
    <n v="0.06"/>
    <n v="0.19"/>
    <x v="3"/>
    <s v="CUST0057"/>
    <n v="2718.0299999999997"/>
  </r>
  <r>
    <n v="821"/>
    <d v="2024-06-25T00:00:00"/>
    <s v="Headphones"/>
    <s v="Accessories"/>
    <n v="1422.06"/>
    <n v="3"/>
    <n v="0.15"/>
    <n v="0.21"/>
    <x v="1"/>
    <s v="CUST0053"/>
    <n v="4266.18"/>
  </r>
  <r>
    <n v="822"/>
    <d v="2024-04-14T00:00:00"/>
    <s v="Tablet"/>
    <s v="Electronics"/>
    <n v="440.38"/>
    <n v="2"/>
    <n v="0.14000000000000001"/>
    <n v="0.3"/>
    <x v="1"/>
    <s v="CUST0265"/>
    <n v="880.76"/>
  </r>
  <r>
    <n v="823"/>
    <d v="2024-12-20T00:00:00"/>
    <s v="Keyboard"/>
    <s v="Accessories"/>
    <n v="536.66"/>
    <n v="4"/>
    <n v="0.3"/>
    <n v="0.19"/>
    <x v="3"/>
    <s v="CUST0142"/>
    <n v="2146.64"/>
  </r>
  <r>
    <n v="824"/>
    <d v="2024-10-30T00:00:00"/>
    <s v="Mouse"/>
    <s v="Accessories"/>
    <n v="234.83"/>
    <n v="3"/>
    <n v="0.25"/>
    <n v="0.13"/>
    <x v="3"/>
    <s v="CUST0035"/>
    <n v="704.49"/>
  </r>
  <r>
    <n v="825"/>
    <d v="2024-05-16T00:00:00"/>
    <s v="Keyboard"/>
    <s v="Accessories"/>
    <n v="1255.99"/>
    <n v="4"/>
    <n v="0.06"/>
    <n v="0.21"/>
    <x v="2"/>
    <s v="CUST0107"/>
    <n v="5023.96"/>
  </r>
  <r>
    <n v="826"/>
    <d v="2024-08-24T00:00:00"/>
    <s v="Headphones"/>
    <s v="Accessories"/>
    <n v="378.98"/>
    <n v="4"/>
    <n v="0.08"/>
    <n v="0.2"/>
    <x v="0"/>
    <s v="CUST0201"/>
    <n v="1515.92"/>
  </r>
  <r>
    <n v="827"/>
    <d v="2024-04-27T00:00:00"/>
    <s v="Monitor"/>
    <s v="Electronics"/>
    <n v="683.9"/>
    <n v="2"/>
    <n v="0.06"/>
    <n v="0.1"/>
    <x v="0"/>
    <s v="CUST0253"/>
    <n v="1367.8"/>
  </r>
  <r>
    <n v="828"/>
    <d v="2024-07-29T00:00:00"/>
    <s v="Monitor"/>
    <s v="Electronics"/>
    <n v="1001.32"/>
    <n v="2"/>
    <n v="0.19"/>
    <n v="0.18"/>
    <x v="3"/>
    <s v="CUST0014"/>
    <n v="2002.64"/>
  </r>
  <r>
    <n v="829"/>
    <d v="2024-04-22T00:00:00"/>
    <s v="Mouse"/>
    <s v="Accessories"/>
    <n v="1358.93"/>
    <n v="5"/>
    <n v="0.03"/>
    <n v="0.38"/>
    <x v="0"/>
    <s v="CUST0096"/>
    <n v="6794.6500000000005"/>
  </r>
  <r>
    <n v="830"/>
    <d v="2024-06-23T00:00:00"/>
    <s v="Headphones"/>
    <s v="Accessories"/>
    <n v="35.14"/>
    <n v="4"/>
    <n v="0.26"/>
    <n v="0.17"/>
    <x v="2"/>
    <s v="CUST0202"/>
    <n v="140.56"/>
  </r>
  <r>
    <n v="831"/>
    <d v="2024-03-27T00:00:00"/>
    <s v="Headphones"/>
    <s v="Accessories"/>
    <n v="618.54999999999995"/>
    <n v="2"/>
    <n v="0.27"/>
    <n v="0.37"/>
    <x v="0"/>
    <s v="CUST0031"/>
    <n v="1237.0999999999999"/>
  </r>
  <r>
    <n v="832"/>
    <d v="2024-05-28T00:00:00"/>
    <s v="Mouse"/>
    <s v="Accessories"/>
    <n v="465.81"/>
    <n v="1"/>
    <n v="0.13"/>
    <n v="0.32"/>
    <x v="2"/>
    <s v="CUST0083"/>
    <n v="465.81"/>
  </r>
  <r>
    <n v="833"/>
    <d v="2024-10-20T00:00:00"/>
    <s v="Headphones"/>
    <s v="Accessories"/>
    <n v="659.19"/>
    <n v="1"/>
    <n v="0.25"/>
    <n v="0.15"/>
    <x v="2"/>
    <s v="CUST0284"/>
    <n v="659.19"/>
  </r>
  <r>
    <n v="834"/>
    <d v="2024-10-28T00:00:00"/>
    <s v="Keyboard"/>
    <s v="Accessories"/>
    <n v="1031.18"/>
    <n v="2"/>
    <n v="0.09"/>
    <n v="0.28000000000000003"/>
    <x v="2"/>
    <s v="CUST0273"/>
    <n v="2062.36"/>
  </r>
  <r>
    <n v="835"/>
    <d v="2024-12-28T00:00:00"/>
    <s v="Tablet"/>
    <s v="Electronics"/>
    <n v="957.55"/>
    <n v="1"/>
    <n v="0.12"/>
    <n v="0.21"/>
    <x v="1"/>
    <s v="CUST0186"/>
    <n v="957.55"/>
  </r>
  <r>
    <n v="836"/>
    <d v="2024-08-14T00:00:00"/>
    <s v="Headphones"/>
    <s v="Accessories"/>
    <n v="532.34"/>
    <n v="4"/>
    <n v="0.17"/>
    <n v="0.13"/>
    <x v="2"/>
    <s v="CUST0055"/>
    <n v="2129.36"/>
  </r>
  <r>
    <n v="837"/>
    <d v="2024-06-28T00:00:00"/>
    <s v="Monitor"/>
    <s v="Electronics"/>
    <n v="860.74"/>
    <n v="3"/>
    <n v="0.12"/>
    <n v="0.27"/>
    <x v="0"/>
    <s v="CUST0127"/>
    <n v="2582.2200000000003"/>
  </r>
  <r>
    <n v="838"/>
    <d v="2024-08-24T00:00:00"/>
    <s v="Tablet"/>
    <s v="Electronics"/>
    <n v="40.950000000000003"/>
    <n v="3"/>
    <n v="0.24"/>
    <n v="0.13"/>
    <x v="1"/>
    <s v="CUST0291"/>
    <n v="122.85000000000001"/>
  </r>
  <r>
    <n v="839"/>
    <d v="2024-12-14T00:00:00"/>
    <s v="Tablet"/>
    <s v="Electronics"/>
    <n v="136.6"/>
    <n v="5"/>
    <n v="0.04"/>
    <n v="0.39"/>
    <x v="0"/>
    <s v="CUST0140"/>
    <n v="683"/>
  </r>
  <r>
    <n v="840"/>
    <d v="2024-07-06T00:00:00"/>
    <s v="Mouse"/>
    <s v="Accessories"/>
    <n v="358.76"/>
    <n v="3"/>
    <n v="0.18"/>
    <n v="0.32"/>
    <x v="2"/>
    <s v="CUST0040"/>
    <n v="1076.28"/>
  </r>
  <r>
    <n v="841"/>
    <d v="2024-03-30T00:00:00"/>
    <s v="Headphones"/>
    <s v="Accessories"/>
    <n v="934.99"/>
    <n v="3"/>
    <n v="0.16"/>
    <n v="0.13"/>
    <x v="3"/>
    <s v="CUST0147"/>
    <n v="2804.9700000000003"/>
  </r>
  <r>
    <n v="842"/>
    <d v="2024-04-03T00:00:00"/>
    <s v="Mouse"/>
    <s v="Accessories"/>
    <n v="1189.5"/>
    <n v="5"/>
    <n v="7.0000000000000007E-2"/>
    <n v="0.23"/>
    <x v="1"/>
    <s v="CUST0209"/>
    <n v="5947.5"/>
  </r>
  <r>
    <n v="843"/>
    <d v="2024-09-03T00:00:00"/>
    <s v="Laptop"/>
    <s v="Electronics"/>
    <n v="408.01"/>
    <n v="2"/>
    <n v="0.13"/>
    <n v="0.2"/>
    <x v="3"/>
    <s v="CUST0113"/>
    <n v="816.02"/>
  </r>
  <r>
    <n v="844"/>
    <d v="2024-02-09T00:00:00"/>
    <s v="Keyboard"/>
    <s v="Accessories"/>
    <n v="195.66"/>
    <n v="1"/>
    <n v="0.21"/>
    <n v="0.24"/>
    <x v="2"/>
    <s v="CUST0209"/>
    <n v="195.66"/>
  </r>
  <r>
    <n v="845"/>
    <d v="2024-06-30T00:00:00"/>
    <s v="Mouse"/>
    <s v="Accessories"/>
    <n v="1484.41"/>
    <n v="1"/>
    <n v="0.08"/>
    <n v="0.27"/>
    <x v="1"/>
    <s v="CUST0186"/>
    <n v="1484.41"/>
  </r>
  <r>
    <n v="846"/>
    <d v="2024-07-26T00:00:00"/>
    <s v="Keyboard"/>
    <s v="Accessories"/>
    <n v="1349.17"/>
    <n v="1"/>
    <n v="0.02"/>
    <n v="0.37"/>
    <x v="3"/>
    <s v="CUST0247"/>
    <n v="1349.17"/>
  </r>
  <r>
    <n v="847"/>
    <d v="2024-05-24T00:00:00"/>
    <s v="Laptop"/>
    <s v="Electronics"/>
    <n v="559.78"/>
    <n v="1"/>
    <n v="0.1"/>
    <n v="0.16"/>
    <x v="3"/>
    <s v="CUST0012"/>
    <n v="559.78"/>
  </r>
  <r>
    <n v="848"/>
    <d v="2024-08-26T00:00:00"/>
    <s v="Tablet"/>
    <s v="Electronics"/>
    <n v="1256.02"/>
    <n v="5"/>
    <n v="0.25"/>
    <n v="0.17"/>
    <x v="0"/>
    <s v="CUST0117"/>
    <n v="6280.1"/>
  </r>
  <r>
    <n v="849"/>
    <d v="2024-09-01T00:00:00"/>
    <s v="Keyboard"/>
    <s v="Accessories"/>
    <n v="230.91"/>
    <n v="5"/>
    <n v="0.12"/>
    <n v="0.24"/>
    <x v="2"/>
    <s v="CUST0234"/>
    <n v="1154.55"/>
  </r>
  <r>
    <n v="850"/>
    <d v="2024-10-31T00:00:00"/>
    <s v="Keyboard"/>
    <s v="Accessories"/>
    <n v="326.26"/>
    <n v="4"/>
    <n v="0.04"/>
    <n v="0.38"/>
    <x v="3"/>
    <s v="CUST0286"/>
    <n v="1305.04"/>
  </r>
  <r>
    <n v="851"/>
    <d v="2024-01-20T00:00:00"/>
    <s v="Keyboard"/>
    <s v="Accessories"/>
    <n v="645.62"/>
    <n v="2"/>
    <n v="0.01"/>
    <n v="0.24"/>
    <x v="0"/>
    <s v="CUST0103"/>
    <n v="1291.24"/>
  </r>
  <r>
    <n v="852"/>
    <d v="2024-09-29T00:00:00"/>
    <s v="Monitor"/>
    <s v="Electronics"/>
    <n v="393.41"/>
    <n v="3"/>
    <n v="0.2"/>
    <n v="0.39"/>
    <x v="1"/>
    <s v="CUST0156"/>
    <n v="1180.23"/>
  </r>
  <r>
    <n v="853"/>
    <d v="2024-01-19T00:00:00"/>
    <s v="Laptop"/>
    <s v="Electronics"/>
    <n v="1393.95"/>
    <n v="5"/>
    <n v="7.0000000000000007E-2"/>
    <n v="0.17"/>
    <x v="0"/>
    <s v="CUST0087"/>
    <n v="6969.75"/>
  </r>
  <r>
    <n v="854"/>
    <d v="2024-04-09T00:00:00"/>
    <s v="Keyboard"/>
    <s v="Accessories"/>
    <n v="1166.02"/>
    <n v="4"/>
    <n v="0.21"/>
    <n v="0.28999999999999998"/>
    <x v="2"/>
    <s v="CUST0085"/>
    <n v="4664.08"/>
  </r>
  <r>
    <n v="855"/>
    <d v="2024-11-12T00:00:00"/>
    <s v="Keyboard"/>
    <s v="Accessories"/>
    <n v="1030"/>
    <n v="2"/>
    <n v="0.25"/>
    <n v="0.34"/>
    <x v="1"/>
    <s v="CUST0126"/>
    <n v="2060"/>
  </r>
  <r>
    <n v="856"/>
    <d v="2024-06-12T00:00:00"/>
    <s v="Laptop"/>
    <s v="Electronics"/>
    <n v="671.31"/>
    <n v="3"/>
    <n v="0.28999999999999998"/>
    <n v="0.23"/>
    <x v="3"/>
    <s v="CUST0076"/>
    <n v="2013.9299999999998"/>
  </r>
  <r>
    <n v="857"/>
    <d v="2024-08-26T00:00:00"/>
    <s v="Monitor"/>
    <s v="Electronics"/>
    <n v="634.42999999999995"/>
    <n v="2"/>
    <n v="0.16"/>
    <n v="0.18"/>
    <x v="1"/>
    <s v="CUST0291"/>
    <n v="1268.8599999999999"/>
  </r>
  <r>
    <n v="858"/>
    <d v="2024-12-11T00:00:00"/>
    <s v="Tablet"/>
    <s v="Electronics"/>
    <n v="449.81"/>
    <n v="3"/>
    <n v="0.01"/>
    <n v="0.37"/>
    <x v="2"/>
    <s v="CUST0086"/>
    <n v="1349.43"/>
  </r>
  <r>
    <n v="859"/>
    <d v="2024-05-15T00:00:00"/>
    <s v="Monitor"/>
    <s v="Electronics"/>
    <n v="273.10000000000002"/>
    <n v="5"/>
    <n v="0.21"/>
    <n v="0.13"/>
    <x v="2"/>
    <s v="CUST0092"/>
    <n v="1365.5"/>
  </r>
  <r>
    <n v="860"/>
    <d v="2024-09-20T00:00:00"/>
    <s v="Tablet"/>
    <s v="Electronics"/>
    <n v="766.08"/>
    <n v="3"/>
    <n v="0.08"/>
    <n v="0.19"/>
    <x v="1"/>
    <s v="CUST0285"/>
    <n v="2298.2400000000002"/>
  </r>
  <r>
    <n v="861"/>
    <d v="2024-11-08T00:00:00"/>
    <s v="Monitor"/>
    <s v="Electronics"/>
    <n v="99.07"/>
    <n v="4"/>
    <n v="0.27"/>
    <n v="0.28999999999999998"/>
    <x v="1"/>
    <s v="CUST0146"/>
    <n v="396.28"/>
  </r>
  <r>
    <n v="862"/>
    <d v="2024-08-08T00:00:00"/>
    <s v="Laptop"/>
    <s v="Electronics"/>
    <n v="446.41"/>
    <n v="2"/>
    <n v="0.09"/>
    <n v="0.11"/>
    <x v="2"/>
    <s v="CUST0127"/>
    <n v="892.82"/>
  </r>
  <r>
    <n v="863"/>
    <d v="2024-12-15T00:00:00"/>
    <s v="Laptop"/>
    <s v="Electronics"/>
    <n v="612.39"/>
    <n v="2"/>
    <n v="0.25"/>
    <n v="0.14000000000000001"/>
    <x v="0"/>
    <s v="CUST0247"/>
    <n v="1224.78"/>
  </r>
  <r>
    <n v="864"/>
    <d v="2024-04-02T00:00:00"/>
    <s v="Monitor"/>
    <s v="Electronics"/>
    <n v="821.94"/>
    <n v="2"/>
    <n v="7.0000000000000007E-2"/>
    <n v="0.13"/>
    <x v="2"/>
    <s v="CUST0295"/>
    <n v="1643.88"/>
  </r>
  <r>
    <n v="865"/>
    <d v="2024-04-05T00:00:00"/>
    <s v="Mouse"/>
    <s v="Accessories"/>
    <n v="1374.71"/>
    <n v="2"/>
    <n v="0.25"/>
    <n v="0.25"/>
    <x v="3"/>
    <s v="CUST0286"/>
    <n v="2749.42"/>
  </r>
  <r>
    <n v="866"/>
    <d v="2024-11-18T00:00:00"/>
    <s v="Headphones"/>
    <s v="Accessories"/>
    <n v="429.72"/>
    <n v="2"/>
    <n v="0.17"/>
    <n v="0.2"/>
    <x v="3"/>
    <s v="CUST0074"/>
    <n v="859.44"/>
  </r>
  <r>
    <n v="867"/>
    <d v="2024-12-02T00:00:00"/>
    <s v="Headphones"/>
    <s v="Accessories"/>
    <n v="1247.02"/>
    <n v="3"/>
    <n v="0.28999999999999998"/>
    <n v="0.39"/>
    <x v="0"/>
    <s v="CUST0011"/>
    <n v="3741.06"/>
  </r>
  <r>
    <n v="868"/>
    <d v="2024-10-17T00:00:00"/>
    <s v="Keyboard"/>
    <s v="Accessories"/>
    <n v="1099.3499999999999"/>
    <n v="5"/>
    <n v="0.26"/>
    <n v="0.35"/>
    <x v="3"/>
    <s v="CUST0058"/>
    <n v="5496.75"/>
  </r>
  <r>
    <n v="869"/>
    <d v="2024-09-07T00:00:00"/>
    <s v="Mouse"/>
    <s v="Accessories"/>
    <n v="1421.47"/>
    <n v="4"/>
    <n v="0.11"/>
    <n v="0.28999999999999998"/>
    <x v="3"/>
    <s v="CUST0258"/>
    <n v="5685.88"/>
  </r>
  <r>
    <n v="870"/>
    <d v="2024-08-12T00:00:00"/>
    <s v="Headphones"/>
    <s v="Accessories"/>
    <n v="1175.78"/>
    <n v="1"/>
    <n v="0.18"/>
    <n v="0.3"/>
    <x v="3"/>
    <s v="CUST0166"/>
    <n v="1175.78"/>
  </r>
  <r>
    <n v="871"/>
    <d v="2024-03-23T00:00:00"/>
    <s v="Laptop"/>
    <s v="Electronics"/>
    <n v="660.7"/>
    <n v="3"/>
    <n v="0.28000000000000003"/>
    <n v="0.15"/>
    <x v="0"/>
    <s v="CUST0090"/>
    <n v="1982.1000000000001"/>
  </r>
  <r>
    <n v="872"/>
    <d v="2024-01-30T00:00:00"/>
    <s v="Headphones"/>
    <s v="Accessories"/>
    <n v="1333.5"/>
    <n v="5"/>
    <n v="0.09"/>
    <n v="0.26"/>
    <x v="1"/>
    <s v="CUST0129"/>
    <n v="6667.5"/>
  </r>
  <r>
    <n v="873"/>
    <d v="2024-01-25T00:00:00"/>
    <s v="Keyboard"/>
    <s v="Accessories"/>
    <n v="1170.03"/>
    <n v="2"/>
    <n v="0.05"/>
    <n v="0.23"/>
    <x v="2"/>
    <s v="CUST0010"/>
    <n v="2340.06"/>
  </r>
  <r>
    <n v="874"/>
    <d v="2024-05-06T00:00:00"/>
    <s v="Keyboard"/>
    <s v="Accessories"/>
    <n v="1200.8900000000001"/>
    <n v="2"/>
    <n v="0.03"/>
    <n v="0.22"/>
    <x v="3"/>
    <s v="CUST0089"/>
    <n v="2401.7800000000002"/>
  </r>
  <r>
    <n v="875"/>
    <d v="2024-04-08T00:00:00"/>
    <s v="Mouse"/>
    <s v="Accessories"/>
    <n v="49.47"/>
    <n v="3"/>
    <n v="0.18"/>
    <n v="0.15"/>
    <x v="2"/>
    <s v="CUST0097"/>
    <n v="148.41"/>
  </r>
  <r>
    <n v="876"/>
    <d v="2024-07-27T00:00:00"/>
    <s v="Mouse"/>
    <s v="Accessories"/>
    <n v="371.62"/>
    <n v="5"/>
    <n v="0.25"/>
    <n v="0.39"/>
    <x v="1"/>
    <s v="CUST0094"/>
    <n v="1858.1"/>
  </r>
  <r>
    <n v="877"/>
    <d v="2024-02-23T00:00:00"/>
    <s v="Monitor"/>
    <s v="Electronics"/>
    <n v="366.43"/>
    <n v="2"/>
    <n v="0.28000000000000003"/>
    <n v="0.23"/>
    <x v="1"/>
    <s v="CUST0028"/>
    <n v="732.86"/>
  </r>
  <r>
    <n v="878"/>
    <d v="2024-07-05T00:00:00"/>
    <s v="Headphones"/>
    <s v="Accessories"/>
    <n v="340.2"/>
    <n v="1"/>
    <n v="0"/>
    <n v="0.36"/>
    <x v="1"/>
    <s v="CUST0165"/>
    <n v="340.2"/>
  </r>
  <r>
    <n v="879"/>
    <d v="2024-10-30T00:00:00"/>
    <s v="Monitor"/>
    <s v="Electronics"/>
    <n v="885.3"/>
    <n v="1"/>
    <n v="0.24"/>
    <n v="0.19"/>
    <x v="1"/>
    <s v="CUST0278"/>
    <n v="885.3"/>
  </r>
  <r>
    <n v="880"/>
    <d v="2024-05-09T00:00:00"/>
    <s v="Headphones"/>
    <s v="Accessories"/>
    <n v="1054.1300000000001"/>
    <n v="4"/>
    <n v="0.12"/>
    <n v="0.39"/>
    <x v="1"/>
    <s v="CUST0037"/>
    <n v="4216.5200000000004"/>
  </r>
  <r>
    <n v="881"/>
    <d v="2024-09-19T00:00:00"/>
    <s v="Headphones"/>
    <s v="Accessories"/>
    <n v="116.28"/>
    <n v="3"/>
    <n v="0.21"/>
    <n v="0.18"/>
    <x v="1"/>
    <s v="CUST0034"/>
    <n v="348.84000000000003"/>
  </r>
  <r>
    <n v="882"/>
    <d v="2024-01-17T00:00:00"/>
    <s v="Headphones"/>
    <s v="Accessories"/>
    <n v="219.65"/>
    <n v="4"/>
    <n v="0.13"/>
    <n v="0.35"/>
    <x v="0"/>
    <s v="CUST0216"/>
    <n v="878.6"/>
  </r>
  <r>
    <n v="883"/>
    <d v="2024-11-20T00:00:00"/>
    <s v="Headphones"/>
    <s v="Accessories"/>
    <n v="352.13"/>
    <n v="1"/>
    <n v="7.0000000000000007E-2"/>
    <n v="0.35"/>
    <x v="0"/>
    <s v="CUST0142"/>
    <n v="352.13"/>
  </r>
  <r>
    <n v="884"/>
    <d v="2024-03-16T00:00:00"/>
    <s v="Laptop"/>
    <s v="Electronics"/>
    <n v="157.63"/>
    <n v="4"/>
    <n v="0.14000000000000001"/>
    <n v="0.2"/>
    <x v="0"/>
    <s v="CUST0242"/>
    <n v="630.52"/>
  </r>
  <r>
    <n v="885"/>
    <d v="2024-10-19T00:00:00"/>
    <s v="Tablet"/>
    <s v="Electronics"/>
    <n v="448.81"/>
    <n v="2"/>
    <n v="0.2"/>
    <n v="0.36"/>
    <x v="2"/>
    <s v="CUST0043"/>
    <n v="897.62"/>
  </r>
  <r>
    <n v="886"/>
    <d v="2024-04-15T00:00:00"/>
    <s v="Mouse"/>
    <s v="Accessories"/>
    <n v="1098.1099999999999"/>
    <n v="4"/>
    <n v="0.21"/>
    <n v="0.27"/>
    <x v="0"/>
    <s v="CUST0120"/>
    <n v="4392.4399999999996"/>
  </r>
  <r>
    <n v="887"/>
    <d v="2024-05-27T00:00:00"/>
    <s v="Laptop"/>
    <s v="Electronics"/>
    <n v="332.67"/>
    <n v="5"/>
    <n v="0.23"/>
    <n v="0.15"/>
    <x v="2"/>
    <s v="CUST0052"/>
    <n v="1663.3500000000001"/>
  </r>
  <r>
    <n v="888"/>
    <d v="2024-05-25T00:00:00"/>
    <s v="Laptop"/>
    <s v="Electronics"/>
    <n v="1107.51"/>
    <n v="4"/>
    <n v="0.12"/>
    <n v="0.14000000000000001"/>
    <x v="2"/>
    <s v="CUST0251"/>
    <n v="4430.04"/>
  </r>
  <r>
    <n v="889"/>
    <d v="2024-02-03T00:00:00"/>
    <s v="Laptop"/>
    <s v="Electronics"/>
    <n v="108.6"/>
    <n v="4"/>
    <n v="0.18"/>
    <n v="0.2"/>
    <x v="2"/>
    <s v="CUST0174"/>
    <n v="434.4"/>
  </r>
  <r>
    <n v="890"/>
    <d v="2024-11-24T00:00:00"/>
    <s v="Keyboard"/>
    <s v="Accessories"/>
    <n v="310.32"/>
    <n v="5"/>
    <n v="0.1"/>
    <n v="0.2"/>
    <x v="2"/>
    <s v="CUST0069"/>
    <n v="1551.6"/>
  </r>
  <r>
    <n v="891"/>
    <d v="2024-11-30T00:00:00"/>
    <s v="Tablet"/>
    <s v="Electronics"/>
    <n v="364.24"/>
    <n v="3"/>
    <n v="0.19"/>
    <n v="0.36"/>
    <x v="1"/>
    <s v="CUST0014"/>
    <n v="1092.72"/>
  </r>
  <r>
    <n v="892"/>
    <d v="2024-01-05T00:00:00"/>
    <s v="Laptop"/>
    <s v="Electronics"/>
    <n v="1243.45"/>
    <n v="1"/>
    <n v="0.16"/>
    <n v="0.13"/>
    <x v="0"/>
    <s v="CUST0277"/>
    <n v="1243.45"/>
  </r>
  <r>
    <n v="893"/>
    <d v="2024-10-26T00:00:00"/>
    <s v="Laptop"/>
    <s v="Electronics"/>
    <n v="255.57"/>
    <n v="3"/>
    <n v="0.11"/>
    <n v="0.3"/>
    <x v="0"/>
    <s v="CUST0197"/>
    <n v="766.71"/>
  </r>
  <r>
    <n v="894"/>
    <d v="2024-03-08T00:00:00"/>
    <s v="Mouse"/>
    <s v="Accessories"/>
    <n v="144.81"/>
    <n v="2"/>
    <n v="0.13"/>
    <n v="0.25"/>
    <x v="0"/>
    <s v="CUST0170"/>
    <n v="289.62"/>
  </r>
  <r>
    <n v="895"/>
    <d v="2024-12-04T00:00:00"/>
    <s v="Mouse"/>
    <s v="Accessories"/>
    <n v="1466.49"/>
    <n v="3"/>
    <n v="0.17"/>
    <n v="0.36"/>
    <x v="2"/>
    <s v="CUST0190"/>
    <n v="4399.47"/>
  </r>
  <r>
    <n v="896"/>
    <d v="2024-07-12T00:00:00"/>
    <s v="Headphones"/>
    <s v="Accessories"/>
    <n v="1478.13"/>
    <n v="2"/>
    <n v="0.13"/>
    <n v="0.23"/>
    <x v="3"/>
    <s v="CUST0185"/>
    <n v="2956.26"/>
  </r>
  <r>
    <n v="897"/>
    <d v="2024-09-01T00:00:00"/>
    <s v="Mouse"/>
    <s v="Accessories"/>
    <n v="512.16999999999996"/>
    <n v="1"/>
    <n v="0.15"/>
    <n v="0.28999999999999998"/>
    <x v="2"/>
    <s v="CUST0150"/>
    <n v="512.16999999999996"/>
  </r>
  <r>
    <n v="898"/>
    <d v="2024-11-22T00:00:00"/>
    <s v="Tablet"/>
    <s v="Electronics"/>
    <n v="658.69"/>
    <n v="1"/>
    <n v="0.04"/>
    <n v="0.13"/>
    <x v="2"/>
    <s v="CUST0236"/>
    <n v="658.69"/>
  </r>
  <r>
    <n v="899"/>
    <d v="2024-12-13T00:00:00"/>
    <s v="Laptop"/>
    <s v="Electronics"/>
    <n v="48.9"/>
    <n v="2"/>
    <n v="0.08"/>
    <n v="0.24"/>
    <x v="2"/>
    <s v="CUST0198"/>
    <n v="97.8"/>
  </r>
  <r>
    <n v="900"/>
    <d v="2024-04-15T00:00:00"/>
    <s v="Headphones"/>
    <s v="Accessories"/>
    <n v="312.64"/>
    <n v="4"/>
    <n v="0.23"/>
    <n v="0.34"/>
    <x v="1"/>
    <s v="CUST0063"/>
    <n v="1250.56"/>
  </r>
  <r>
    <n v="901"/>
    <d v="2024-11-01T00:00:00"/>
    <s v="Keyboard"/>
    <s v="Accessories"/>
    <n v="1301.7"/>
    <n v="4"/>
    <n v="0.02"/>
    <n v="0.19"/>
    <x v="3"/>
    <s v="CUST0293"/>
    <n v="5206.8"/>
  </r>
  <r>
    <n v="902"/>
    <d v="2024-10-09T00:00:00"/>
    <s v="Mouse"/>
    <s v="Accessories"/>
    <n v="1018.91"/>
    <n v="5"/>
    <n v="0.04"/>
    <n v="0.15"/>
    <x v="1"/>
    <s v="CUST0277"/>
    <n v="5094.55"/>
  </r>
  <r>
    <n v="903"/>
    <d v="2024-06-30T00:00:00"/>
    <s v="Keyboard"/>
    <s v="Accessories"/>
    <n v="901.51"/>
    <n v="2"/>
    <n v="0.23"/>
    <n v="0.1"/>
    <x v="0"/>
    <s v="CUST0256"/>
    <n v="1803.02"/>
  </r>
  <r>
    <n v="904"/>
    <d v="2024-10-24T00:00:00"/>
    <s v="Headphones"/>
    <s v="Accessories"/>
    <n v="657.87"/>
    <n v="4"/>
    <n v="0.23"/>
    <n v="0.17"/>
    <x v="3"/>
    <s v="CUST0114"/>
    <n v="2631.48"/>
  </r>
  <r>
    <n v="905"/>
    <d v="2024-10-29T00:00:00"/>
    <s v="Keyboard"/>
    <s v="Accessories"/>
    <n v="369.17"/>
    <n v="5"/>
    <n v="0.2"/>
    <n v="0.3"/>
    <x v="2"/>
    <s v="CUST0251"/>
    <n v="1845.8500000000001"/>
  </r>
  <r>
    <n v="906"/>
    <d v="2024-12-28T00:00:00"/>
    <s v="Tablet"/>
    <s v="Electronics"/>
    <n v="113.42"/>
    <n v="5"/>
    <n v="0.18"/>
    <n v="0.35"/>
    <x v="0"/>
    <s v="CUST0026"/>
    <n v="567.1"/>
  </r>
  <r>
    <n v="907"/>
    <d v="2024-01-12T00:00:00"/>
    <s v="Headphones"/>
    <s v="Accessories"/>
    <n v="192.33"/>
    <n v="2"/>
    <n v="0.06"/>
    <n v="0.28000000000000003"/>
    <x v="3"/>
    <s v="CUST0012"/>
    <n v="384.66"/>
  </r>
  <r>
    <n v="908"/>
    <d v="2024-08-13T00:00:00"/>
    <s v="Headphones"/>
    <s v="Accessories"/>
    <n v="514.66"/>
    <n v="4"/>
    <n v="0.01"/>
    <n v="0.28999999999999998"/>
    <x v="3"/>
    <s v="CUST0278"/>
    <n v="2058.64"/>
  </r>
  <r>
    <n v="909"/>
    <d v="2024-06-12T00:00:00"/>
    <s v="Headphones"/>
    <s v="Accessories"/>
    <n v="1266.97"/>
    <n v="4"/>
    <n v="0.23"/>
    <n v="0.3"/>
    <x v="1"/>
    <s v="CUST0163"/>
    <n v="5067.88"/>
  </r>
  <r>
    <n v="910"/>
    <d v="2024-07-12T00:00:00"/>
    <s v="Laptop"/>
    <s v="Electronics"/>
    <n v="282.60000000000002"/>
    <n v="3"/>
    <n v="0.19"/>
    <n v="0.34"/>
    <x v="3"/>
    <s v="CUST0217"/>
    <n v="847.80000000000007"/>
  </r>
  <r>
    <n v="911"/>
    <d v="2024-12-24T00:00:00"/>
    <s v="Mouse"/>
    <s v="Accessories"/>
    <n v="99.36"/>
    <n v="4"/>
    <n v="0.18"/>
    <n v="0.15"/>
    <x v="2"/>
    <s v="CUST0078"/>
    <n v="397.44"/>
  </r>
  <r>
    <n v="912"/>
    <d v="2024-08-03T00:00:00"/>
    <s v="Tablet"/>
    <s v="Electronics"/>
    <n v="762.91"/>
    <n v="2"/>
    <n v="0.16"/>
    <n v="0.35"/>
    <x v="1"/>
    <s v="CUST0112"/>
    <n v="1525.82"/>
  </r>
  <r>
    <n v="913"/>
    <d v="2024-02-05T00:00:00"/>
    <s v="Monitor"/>
    <s v="Electronics"/>
    <n v="527.91"/>
    <n v="2"/>
    <n v="0.12"/>
    <n v="0.14000000000000001"/>
    <x v="2"/>
    <s v="CUST0063"/>
    <n v="1055.82"/>
  </r>
  <r>
    <n v="914"/>
    <d v="2024-06-12T00:00:00"/>
    <s v="Headphones"/>
    <s v="Accessories"/>
    <n v="1487.39"/>
    <n v="5"/>
    <n v="0.27"/>
    <n v="0.34"/>
    <x v="1"/>
    <s v="CUST0138"/>
    <n v="7436.9500000000007"/>
  </r>
  <r>
    <n v="915"/>
    <d v="2024-07-05T00:00:00"/>
    <s v="Keyboard"/>
    <s v="Accessories"/>
    <n v="931.37"/>
    <n v="3"/>
    <n v="0.08"/>
    <n v="0.33"/>
    <x v="0"/>
    <s v="CUST0241"/>
    <n v="2794.11"/>
  </r>
  <r>
    <n v="916"/>
    <d v="2024-07-24T00:00:00"/>
    <s v="Mouse"/>
    <s v="Accessories"/>
    <n v="1388.32"/>
    <n v="5"/>
    <n v="0.19"/>
    <n v="0.28000000000000003"/>
    <x v="2"/>
    <s v="CUST0038"/>
    <n v="6941.5999999999995"/>
  </r>
  <r>
    <n v="917"/>
    <d v="2024-07-17T00:00:00"/>
    <s v="Headphones"/>
    <s v="Accessories"/>
    <n v="1099.95"/>
    <n v="1"/>
    <n v="0.2"/>
    <n v="0.27"/>
    <x v="2"/>
    <s v="CUST0280"/>
    <n v="1099.95"/>
  </r>
  <r>
    <n v="918"/>
    <d v="2024-02-13T00:00:00"/>
    <s v="Mouse"/>
    <s v="Accessories"/>
    <n v="211.25"/>
    <n v="4"/>
    <n v="0.28000000000000003"/>
    <n v="0.24"/>
    <x v="3"/>
    <s v="CUST0187"/>
    <n v="845"/>
  </r>
  <r>
    <n v="919"/>
    <d v="2024-09-12T00:00:00"/>
    <s v="Tablet"/>
    <s v="Electronics"/>
    <n v="983.44"/>
    <n v="5"/>
    <n v="0.27"/>
    <n v="0.28999999999999998"/>
    <x v="2"/>
    <s v="CUST0055"/>
    <n v="4917.2000000000007"/>
  </r>
  <r>
    <n v="920"/>
    <d v="2024-09-29T00:00:00"/>
    <s v="Headphones"/>
    <s v="Accessories"/>
    <n v="1175.24"/>
    <n v="3"/>
    <n v="0"/>
    <n v="0.31"/>
    <x v="2"/>
    <s v="CUST0232"/>
    <n v="3525.7200000000003"/>
  </r>
  <r>
    <n v="921"/>
    <d v="2024-07-19T00:00:00"/>
    <s v="Keyboard"/>
    <s v="Accessories"/>
    <n v="842.68"/>
    <n v="5"/>
    <n v="0.28999999999999998"/>
    <n v="0.27"/>
    <x v="3"/>
    <s v="CUST0287"/>
    <n v="4213.3999999999996"/>
  </r>
  <r>
    <n v="922"/>
    <d v="2024-11-20T00:00:00"/>
    <s v="Laptop"/>
    <s v="Electronics"/>
    <n v="840.84"/>
    <n v="1"/>
    <n v="0.12"/>
    <n v="0.3"/>
    <x v="2"/>
    <s v="CUST0166"/>
    <n v="840.84"/>
  </r>
  <r>
    <n v="923"/>
    <d v="2024-12-08T00:00:00"/>
    <s v="Headphones"/>
    <s v="Accessories"/>
    <n v="598.37"/>
    <n v="1"/>
    <n v="0.12"/>
    <n v="0.24"/>
    <x v="3"/>
    <s v="CUST0266"/>
    <n v="598.37"/>
  </r>
  <r>
    <n v="924"/>
    <d v="2024-04-08T00:00:00"/>
    <s v="Monitor"/>
    <s v="Electronics"/>
    <n v="144.53"/>
    <n v="3"/>
    <n v="0.16"/>
    <n v="0.36"/>
    <x v="3"/>
    <s v="CUST0183"/>
    <n v="433.59000000000003"/>
  </r>
  <r>
    <n v="925"/>
    <d v="2024-04-20T00:00:00"/>
    <s v="Mouse"/>
    <s v="Accessories"/>
    <n v="1339.69"/>
    <n v="3"/>
    <n v="0.24"/>
    <n v="0.2"/>
    <x v="2"/>
    <s v="CUST0263"/>
    <n v="4019.07"/>
  </r>
  <r>
    <n v="926"/>
    <d v="2024-01-29T00:00:00"/>
    <s v="Headphones"/>
    <s v="Accessories"/>
    <n v="494.5"/>
    <n v="2"/>
    <n v="0.2"/>
    <n v="0.3"/>
    <x v="2"/>
    <s v="CUST0062"/>
    <n v="989"/>
  </r>
  <r>
    <n v="927"/>
    <d v="2024-12-29T00:00:00"/>
    <s v="Monitor"/>
    <s v="Electronics"/>
    <n v="1049.6099999999999"/>
    <n v="1"/>
    <n v="0.19"/>
    <n v="0.14000000000000001"/>
    <x v="2"/>
    <s v="CUST0119"/>
    <n v="1049.6099999999999"/>
  </r>
  <r>
    <n v="928"/>
    <d v="2024-08-30T00:00:00"/>
    <s v="Laptop"/>
    <s v="Electronics"/>
    <n v="1047.8"/>
    <n v="5"/>
    <n v="0.08"/>
    <n v="0.34"/>
    <x v="3"/>
    <s v="CUST0055"/>
    <n v="5239"/>
  </r>
  <r>
    <n v="929"/>
    <d v="2024-07-06T00:00:00"/>
    <s v="Mouse"/>
    <s v="Accessories"/>
    <n v="762.44"/>
    <n v="3"/>
    <n v="0.19"/>
    <n v="0.16"/>
    <x v="3"/>
    <s v="CUST0139"/>
    <n v="2287.3200000000002"/>
  </r>
  <r>
    <n v="930"/>
    <d v="2024-12-07T00:00:00"/>
    <s v="Tablet"/>
    <s v="Electronics"/>
    <n v="1157.06"/>
    <n v="4"/>
    <n v="0.13"/>
    <n v="0.28999999999999998"/>
    <x v="3"/>
    <s v="CUST0105"/>
    <n v="4628.24"/>
  </r>
  <r>
    <n v="931"/>
    <d v="2024-04-24T00:00:00"/>
    <s v="Tablet"/>
    <s v="Electronics"/>
    <n v="368"/>
    <n v="4"/>
    <n v="0.17"/>
    <n v="0.26"/>
    <x v="0"/>
    <s v="CUST0047"/>
    <n v="1472"/>
  </r>
  <r>
    <n v="932"/>
    <d v="2024-07-29T00:00:00"/>
    <s v="Headphones"/>
    <s v="Accessories"/>
    <n v="730.77"/>
    <n v="3"/>
    <n v="0.08"/>
    <n v="0.33"/>
    <x v="2"/>
    <s v="CUST0103"/>
    <n v="2192.31"/>
  </r>
  <r>
    <n v="933"/>
    <d v="2024-09-23T00:00:00"/>
    <s v="Tablet"/>
    <s v="Electronics"/>
    <n v="1252.82"/>
    <n v="3"/>
    <n v="0.18"/>
    <n v="0.26"/>
    <x v="3"/>
    <s v="CUST0243"/>
    <n v="3758.46"/>
  </r>
  <r>
    <n v="934"/>
    <d v="2024-10-01T00:00:00"/>
    <s v="Monitor"/>
    <s v="Electronics"/>
    <n v="965.72"/>
    <n v="3"/>
    <n v="0.28000000000000003"/>
    <n v="0.26"/>
    <x v="3"/>
    <s v="CUST0080"/>
    <n v="2897.16"/>
  </r>
  <r>
    <n v="935"/>
    <d v="2024-03-05T00:00:00"/>
    <s v="Headphones"/>
    <s v="Accessories"/>
    <n v="1041.73"/>
    <n v="4"/>
    <n v="0.09"/>
    <n v="0.28000000000000003"/>
    <x v="2"/>
    <s v="CUST0104"/>
    <n v="4166.92"/>
  </r>
  <r>
    <n v="936"/>
    <d v="2024-09-19T00:00:00"/>
    <s v="Tablet"/>
    <s v="Electronics"/>
    <n v="1466.12"/>
    <n v="3"/>
    <n v="0.04"/>
    <n v="0.37"/>
    <x v="0"/>
    <s v="CUST0266"/>
    <n v="4398.3599999999997"/>
  </r>
  <r>
    <n v="937"/>
    <d v="2024-12-23T00:00:00"/>
    <s v="Headphones"/>
    <s v="Accessories"/>
    <n v="970.42"/>
    <n v="5"/>
    <n v="0.3"/>
    <n v="0.31"/>
    <x v="2"/>
    <s v="CUST0059"/>
    <n v="4852.0999999999995"/>
  </r>
  <r>
    <n v="938"/>
    <d v="2024-11-04T00:00:00"/>
    <s v="Mouse"/>
    <s v="Accessories"/>
    <n v="845.79"/>
    <n v="3"/>
    <n v="0.28000000000000003"/>
    <n v="0.26"/>
    <x v="1"/>
    <s v="CUST0282"/>
    <n v="2537.37"/>
  </r>
  <r>
    <n v="939"/>
    <d v="2024-02-23T00:00:00"/>
    <s v="Tablet"/>
    <s v="Electronics"/>
    <n v="490.77"/>
    <n v="1"/>
    <n v="0.28999999999999998"/>
    <n v="0.35"/>
    <x v="0"/>
    <s v="CUST0084"/>
    <n v="490.77"/>
  </r>
  <r>
    <n v="940"/>
    <d v="2024-05-01T00:00:00"/>
    <s v="Mouse"/>
    <s v="Accessories"/>
    <n v="513.74"/>
    <n v="4"/>
    <n v="0.12"/>
    <n v="0.33"/>
    <x v="0"/>
    <s v="CUST0085"/>
    <n v="2054.96"/>
  </r>
  <r>
    <n v="941"/>
    <d v="2024-01-28T00:00:00"/>
    <s v="Headphones"/>
    <s v="Accessories"/>
    <n v="633.11"/>
    <n v="1"/>
    <n v="0.08"/>
    <n v="0.14000000000000001"/>
    <x v="2"/>
    <s v="CUST0031"/>
    <n v="633.11"/>
  </r>
  <r>
    <n v="942"/>
    <d v="2024-12-18T00:00:00"/>
    <s v="Laptop"/>
    <s v="Electronics"/>
    <n v="880.1"/>
    <n v="1"/>
    <n v="0.11"/>
    <n v="0.12"/>
    <x v="0"/>
    <s v="CUST0019"/>
    <n v="880.1"/>
  </r>
  <r>
    <n v="943"/>
    <d v="2024-07-26T00:00:00"/>
    <s v="Tablet"/>
    <s v="Electronics"/>
    <n v="771.25"/>
    <n v="3"/>
    <n v="0.2"/>
    <n v="0.4"/>
    <x v="1"/>
    <s v="CUST0111"/>
    <n v="2313.75"/>
  </r>
  <r>
    <n v="944"/>
    <d v="2024-08-04T00:00:00"/>
    <s v="Monitor"/>
    <s v="Electronics"/>
    <n v="193.36"/>
    <n v="4"/>
    <n v="0.12"/>
    <n v="0.13"/>
    <x v="0"/>
    <s v="CUST0212"/>
    <n v="773.44"/>
  </r>
  <r>
    <n v="945"/>
    <d v="2024-09-02T00:00:00"/>
    <s v="Tablet"/>
    <s v="Electronics"/>
    <n v="636.87"/>
    <n v="2"/>
    <n v="0.18"/>
    <n v="0.28000000000000003"/>
    <x v="0"/>
    <s v="CUST0142"/>
    <n v="1273.74"/>
  </r>
  <r>
    <n v="946"/>
    <d v="2024-07-28T00:00:00"/>
    <s v="Laptop"/>
    <s v="Electronics"/>
    <n v="981.14"/>
    <n v="1"/>
    <n v="0.28000000000000003"/>
    <n v="0.28999999999999998"/>
    <x v="3"/>
    <s v="CUST0011"/>
    <n v="981.14"/>
  </r>
  <r>
    <n v="947"/>
    <d v="2024-11-01T00:00:00"/>
    <s v="Headphones"/>
    <s v="Accessories"/>
    <n v="316.52"/>
    <n v="2"/>
    <n v="0.14000000000000001"/>
    <n v="0.28000000000000003"/>
    <x v="3"/>
    <s v="CUST0134"/>
    <n v="633.04"/>
  </r>
  <r>
    <n v="948"/>
    <d v="2024-07-06T00:00:00"/>
    <s v="Headphones"/>
    <s v="Accessories"/>
    <n v="617.16"/>
    <n v="4"/>
    <n v="0.09"/>
    <n v="0.15"/>
    <x v="2"/>
    <s v="CUST0108"/>
    <n v="2468.64"/>
  </r>
  <r>
    <n v="949"/>
    <d v="2024-09-16T00:00:00"/>
    <s v="Mouse"/>
    <s v="Accessories"/>
    <n v="264.92"/>
    <n v="1"/>
    <n v="0.19"/>
    <n v="0.31"/>
    <x v="2"/>
    <s v="CUST0182"/>
    <n v="264.92"/>
  </r>
  <r>
    <n v="950"/>
    <d v="2024-09-09T00:00:00"/>
    <s v="Headphones"/>
    <s v="Accessories"/>
    <n v="839.74"/>
    <n v="2"/>
    <n v="0.26"/>
    <n v="0.27"/>
    <x v="2"/>
    <s v="CUST0254"/>
    <n v="1679.48"/>
  </r>
  <r>
    <n v="951"/>
    <d v="2024-10-09T00:00:00"/>
    <s v="Keyboard"/>
    <s v="Accessories"/>
    <n v="400.04"/>
    <n v="4"/>
    <n v="0.16"/>
    <n v="0.12"/>
    <x v="0"/>
    <s v="CUST0191"/>
    <n v="1600.16"/>
  </r>
  <r>
    <n v="952"/>
    <d v="2024-01-16T00:00:00"/>
    <s v="Laptop"/>
    <s v="Electronics"/>
    <n v="899.34"/>
    <n v="1"/>
    <n v="0.12"/>
    <n v="0.19"/>
    <x v="0"/>
    <s v="CUST0117"/>
    <n v="899.34"/>
  </r>
  <r>
    <n v="953"/>
    <d v="2024-01-17T00:00:00"/>
    <s v="Monitor"/>
    <s v="Electronics"/>
    <n v="848.57"/>
    <n v="3"/>
    <n v="0.13"/>
    <n v="0.28000000000000003"/>
    <x v="1"/>
    <s v="CUST0262"/>
    <n v="2545.71"/>
  </r>
  <r>
    <n v="954"/>
    <d v="2024-01-30T00:00:00"/>
    <s v="Keyboard"/>
    <s v="Accessories"/>
    <n v="797.4"/>
    <n v="2"/>
    <n v="0.14000000000000001"/>
    <n v="0.25"/>
    <x v="2"/>
    <s v="CUST0012"/>
    <n v="1594.8"/>
  </r>
  <r>
    <n v="955"/>
    <d v="2024-10-18T00:00:00"/>
    <s v="Keyboard"/>
    <s v="Accessories"/>
    <n v="143.28"/>
    <n v="3"/>
    <n v="0.24"/>
    <n v="0.37"/>
    <x v="0"/>
    <s v="CUST0284"/>
    <n v="429.84000000000003"/>
  </r>
  <r>
    <n v="956"/>
    <d v="2024-12-11T00:00:00"/>
    <s v="Headphones"/>
    <s v="Accessories"/>
    <n v="1180.6199999999999"/>
    <n v="5"/>
    <n v="0.06"/>
    <n v="0.3"/>
    <x v="3"/>
    <s v="CUST0012"/>
    <n v="5903.0999999999995"/>
  </r>
  <r>
    <n v="957"/>
    <d v="2024-05-31T00:00:00"/>
    <s v="Monitor"/>
    <s v="Electronics"/>
    <n v="1457.14"/>
    <n v="5"/>
    <n v="0.12"/>
    <n v="0.28000000000000003"/>
    <x v="2"/>
    <s v="CUST0231"/>
    <n v="7285.7000000000007"/>
  </r>
  <r>
    <n v="958"/>
    <d v="2024-01-30T00:00:00"/>
    <s v="Laptop"/>
    <s v="Electronics"/>
    <n v="623"/>
    <n v="5"/>
    <n v="0.13"/>
    <n v="0.4"/>
    <x v="0"/>
    <s v="CUST0109"/>
    <n v="3115"/>
  </r>
  <r>
    <n v="959"/>
    <d v="2024-12-15T00:00:00"/>
    <s v="Keyboard"/>
    <s v="Accessories"/>
    <n v="1016.57"/>
    <n v="1"/>
    <n v="0.04"/>
    <n v="0.34"/>
    <x v="3"/>
    <s v="CUST0103"/>
    <n v="1016.57"/>
  </r>
  <r>
    <n v="960"/>
    <d v="2024-01-29T00:00:00"/>
    <s v="Laptop"/>
    <s v="Electronics"/>
    <n v="57.55"/>
    <n v="1"/>
    <n v="0.26"/>
    <n v="0.1"/>
    <x v="2"/>
    <s v="CUST0107"/>
    <n v="57.55"/>
  </r>
  <r>
    <n v="961"/>
    <d v="2024-06-20T00:00:00"/>
    <s v="Monitor"/>
    <s v="Electronics"/>
    <n v="438.49"/>
    <n v="5"/>
    <n v="0.13"/>
    <n v="0.28999999999999998"/>
    <x v="3"/>
    <s v="CUST0291"/>
    <n v="2192.4499999999998"/>
  </r>
  <r>
    <n v="962"/>
    <d v="2024-07-04T00:00:00"/>
    <s v="Tablet"/>
    <s v="Electronics"/>
    <n v="105.48"/>
    <n v="3"/>
    <n v="0.06"/>
    <n v="0.24"/>
    <x v="2"/>
    <s v="CUST0147"/>
    <n v="316.44"/>
  </r>
  <r>
    <n v="963"/>
    <d v="2024-07-28T00:00:00"/>
    <s v="Monitor"/>
    <s v="Electronics"/>
    <n v="677.8"/>
    <n v="3"/>
    <n v="0.06"/>
    <n v="0.23"/>
    <x v="3"/>
    <s v="CUST0118"/>
    <n v="2033.3999999999999"/>
  </r>
  <r>
    <n v="964"/>
    <d v="2024-06-20T00:00:00"/>
    <s v="Keyboard"/>
    <s v="Accessories"/>
    <n v="415.1"/>
    <n v="2"/>
    <n v="0.24"/>
    <n v="0.27"/>
    <x v="2"/>
    <s v="CUST0024"/>
    <n v="830.2"/>
  </r>
  <r>
    <n v="965"/>
    <d v="2024-02-24T00:00:00"/>
    <s v="Mouse"/>
    <s v="Accessories"/>
    <n v="1404.68"/>
    <n v="2"/>
    <n v="0.24"/>
    <n v="0.28000000000000003"/>
    <x v="3"/>
    <s v="CUST0038"/>
    <n v="2809.36"/>
  </r>
  <r>
    <n v="966"/>
    <d v="2024-09-21T00:00:00"/>
    <s v="Keyboard"/>
    <s v="Accessories"/>
    <n v="389.91"/>
    <n v="4"/>
    <n v="0.12"/>
    <n v="0.1"/>
    <x v="3"/>
    <s v="CUST0010"/>
    <n v="1559.64"/>
  </r>
  <r>
    <n v="967"/>
    <d v="2024-11-25T00:00:00"/>
    <s v="Tablet"/>
    <s v="Electronics"/>
    <n v="56.01"/>
    <n v="5"/>
    <n v="0.18"/>
    <n v="0.33"/>
    <x v="2"/>
    <s v="CUST0286"/>
    <n v="280.05"/>
  </r>
  <r>
    <n v="968"/>
    <d v="2024-12-04T00:00:00"/>
    <s v="Keyboard"/>
    <s v="Accessories"/>
    <n v="825.92"/>
    <n v="2"/>
    <n v="0.02"/>
    <n v="0.23"/>
    <x v="0"/>
    <s v="CUST0118"/>
    <n v="1651.84"/>
  </r>
  <r>
    <n v="969"/>
    <d v="2024-04-20T00:00:00"/>
    <s v="Laptop"/>
    <s v="Electronics"/>
    <n v="1119.8800000000001"/>
    <n v="5"/>
    <n v="0.12"/>
    <n v="0.12"/>
    <x v="0"/>
    <s v="CUST0049"/>
    <n v="5599.4000000000005"/>
  </r>
  <r>
    <n v="970"/>
    <d v="2024-05-01T00:00:00"/>
    <s v="Laptop"/>
    <s v="Electronics"/>
    <n v="1285.8399999999999"/>
    <n v="5"/>
    <n v="0.14000000000000001"/>
    <n v="0.21"/>
    <x v="0"/>
    <s v="CUST0168"/>
    <n v="6429.2"/>
  </r>
  <r>
    <n v="971"/>
    <d v="2024-05-15T00:00:00"/>
    <s v="Keyboard"/>
    <s v="Accessories"/>
    <n v="239.36"/>
    <n v="4"/>
    <n v="0"/>
    <n v="0.11"/>
    <x v="1"/>
    <s v="CUST0262"/>
    <n v="957.44"/>
  </r>
  <r>
    <n v="972"/>
    <d v="2024-11-29T00:00:00"/>
    <s v="Headphones"/>
    <s v="Accessories"/>
    <n v="871.45"/>
    <n v="5"/>
    <n v="0.3"/>
    <n v="0.16"/>
    <x v="2"/>
    <s v="CUST0061"/>
    <n v="4357.25"/>
  </r>
  <r>
    <n v="973"/>
    <d v="2024-08-13T00:00:00"/>
    <s v="Headphones"/>
    <s v="Accessories"/>
    <n v="1440.69"/>
    <n v="1"/>
    <n v="0.28000000000000003"/>
    <n v="0.33"/>
    <x v="2"/>
    <s v="CUST0218"/>
    <n v="1440.69"/>
  </r>
  <r>
    <n v="974"/>
    <d v="2024-07-26T00:00:00"/>
    <s v="Headphones"/>
    <s v="Accessories"/>
    <n v="298.27999999999997"/>
    <n v="1"/>
    <n v="0.19"/>
    <n v="0.11"/>
    <x v="2"/>
    <s v="CUST0111"/>
    <n v="298.27999999999997"/>
  </r>
  <r>
    <n v="975"/>
    <d v="2024-07-06T00:00:00"/>
    <s v="Monitor"/>
    <s v="Electronics"/>
    <n v="1267.19"/>
    <n v="1"/>
    <n v="0.02"/>
    <n v="0.15"/>
    <x v="2"/>
    <s v="CUST0005"/>
    <n v="1267.19"/>
  </r>
  <r>
    <n v="976"/>
    <d v="2024-05-13T00:00:00"/>
    <s v="Tablet"/>
    <s v="Electronics"/>
    <n v="206.84"/>
    <n v="1"/>
    <n v="0.05"/>
    <n v="0.12"/>
    <x v="2"/>
    <s v="CUST0239"/>
    <n v="206.84"/>
  </r>
  <r>
    <n v="977"/>
    <d v="2024-02-12T00:00:00"/>
    <s v="Mouse"/>
    <s v="Accessories"/>
    <n v="1034.3599999999999"/>
    <n v="3"/>
    <n v="0.01"/>
    <n v="0.38"/>
    <x v="2"/>
    <s v="CUST0103"/>
    <n v="3103.08"/>
  </r>
  <r>
    <n v="978"/>
    <d v="2024-04-01T00:00:00"/>
    <s v="Monitor"/>
    <s v="Electronics"/>
    <n v="843.23"/>
    <n v="2"/>
    <n v="0.2"/>
    <n v="0.15"/>
    <x v="0"/>
    <s v="CUST0219"/>
    <n v="1686.46"/>
  </r>
  <r>
    <n v="979"/>
    <d v="2024-08-07T00:00:00"/>
    <s v="Tablet"/>
    <s v="Electronics"/>
    <n v="971.68"/>
    <n v="3"/>
    <n v="0.23"/>
    <n v="0.22"/>
    <x v="2"/>
    <s v="CUST0114"/>
    <n v="2915.04"/>
  </r>
  <r>
    <n v="980"/>
    <d v="2024-01-06T00:00:00"/>
    <s v="Tablet"/>
    <s v="Electronics"/>
    <n v="519.66999999999996"/>
    <n v="1"/>
    <n v="0.03"/>
    <n v="0.39"/>
    <x v="3"/>
    <s v="CUST0255"/>
    <n v="519.66999999999996"/>
  </r>
  <r>
    <n v="981"/>
    <d v="2024-04-27T00:00:00"/>
    <s v="Mouse"/>
    <s v="Accessories"/>
    <n v="1099.77"/>
    <n v="5"/>
    <n v="7.0000000000000007E-2"/>
    <n v="0.13"/>
    <x v="3"/>
    <s v="CUST0020"/>
    <n v="5498.85"/>
  </r>
  <r>
    <n v="982"/>
    <d v="2024-06-23T00:00:00"/>
    <s v="Mouse"/>
    <s v="Accessories"/>
    <n v="935.86"/>
    <n v="2"/>
    <n v="0.2"/>
    <n v="0.26"/>
    <x v="0"/>
    <s v="CUST0287"/>
    <n v="1871.72"/>
  </r>
  <r>
    <n v="983"/>
    <d v="2024-07-21T00:00:00"/>
    <s v="Mouse"/>
    <s v="Accessories"/>
    <n v="1385.59"/>
    <n v="5"/>
    <n v="0.08"/>
    <n v="0.2"/>
    <x v="2"/>
    <s v="CUST0097"/>
    <n v="6927.95"/>
  </r>
  <r>
    <n v="984"/>
    <d v="2024-02-14T00:00:00"/>
    <s v="Mouse"/>
    <s v="Accessories"/>
    <n v="1269.54"/>
    <n v="5"/>
    <n v="0.21"/>
    <n v="0.39"/>
    <x v="0"/>
    <s v="CUST0031"/>
    <n v="6347.7"/>
  </r>
  <r>
    <n v="985"/>
    <d v="2024-08-01T00:00:00"/>
    <s v="Mouse"/>
    <s v="Accessories"/>
    <n v="356.37"/>
    <n v="1"/>
    <n v="0.19"/>
    <n v="0.32"/>
    <x v="3"/>
    <s v="CUST0282"/>
    <n v="356.37"/>
  </r>
  <r>
    <n v="986"/>
    <d v="2024-12-13T00:00:00"/>
    <s v="Headphones"/>
    <s v="Accessories"/>
    <n v="291.82"/>
    <n v="3"/>
    <n v="0.1"/>
    <n v="0.32"/>
    <x v="3"/>
    <s v="CUST0299"/>
    <n v="875.46"/>
  </r>
  <r>
    <n v="987"/>
    <d v="2024-09-09T00:00:00"/>
    <s v="Headphones"/>
    <s v="Accessories"/>
    <n v="1104.05"/>
    <n v="1"/>
    <n v="0.25"/>
    <n v="0.34"/>
    <x v="0"/>
    <s v="CUST0186"/>
    <n v="1104.05"/>
  </r>
  <r>
    <n v="988"/>
    <d v="2024-06-16T00:00:00"/>
    <s v="Headphones"/>
    <s v="Accessories"/>
    <n v="292.31"/>
    <n v="5"/>
    <n v="0.21"/>
    <n v="0.14000000000000001"/>
    <x v="0"/>
    <s v="CUST0018"/>
    <n v="1461.55"/>
  </r>
  <r>
    <n v="989"/>
    <d v="2024-05-29T00:00:00"/>
    <s v="Mouse"/>
    <s v="Accessories"/>
    <n v="834.17"/>
    <n v="5"/>
    <n v="0.19"/>
    <n v="0.27"/>
    <x v="1"/>
    <s v="CUST0113"/>
    <n v="4170.8499999999995"/>
  </r>
  <r>
    <n v="990"/>
    <d v="2024-08-23T00:00:00"/>
    <s v="Laptop"/>
    <s v="Electronics"/>
    <n v="224.45"/>
    <n v="3"/>
    <n v="0.12"/>
    <n v="0.14000000000000001"/>
    <x v="0"/>
    <s v="CUST0268"/>
    <n v="673.34999999999991"/>
  </r>
  <r>
    <n v="991"/>
    <d v="2024-03-05T00:00:00"/>
    <s v="Laptop"/>
    <s v="Electronics"/>
    <n v="1102.01"/>
    <n v="5"/>
    <n v="0.13"/>
    <n v="0.14000000000000001"/>
    <x v="3"/>
    <s v="CUST0025"/>
    <n v="5510.05"/>
  </r>
  <r>
    <n v="992"/>
    <d v="2024-12-17T00:00:00"/>
    <s v="Headphones"/>
    <s v="Accessories"/>
    <n v="547.71"/>
    <n v="3"/>
    <n v="0.2"/>
    <n v="0.25"/>
    <x v="3"/>
    <s v="CUST0063"/>
    <n v="1643.13"/>
  </r>
  <r>
    <n v="993"/>
    <d v="2024-11-08T00:00:00"/>
    <s v="Laptop"/>
    <s v="Electronics"/>
    <n v="552.77"/>
    <n v="3"/>
    <n v="0.1"/>
    <n v="0.17"/>
    <x v="2"/>
    <s v="CUST0238"/>
    <n v="1658.31"/>
  </r>
  <r>
    <n v="994"/>
    <d v="2024-10-29T00:00:00"/>
    <s v="Monitor"/>
    <s v="Electronics"/>
    <n v="318.25"/>
    <n v="3"/>
    <n v="0.17"/>
    <n v="0.16"/>
    <x v="1"/>
    <s v="CUST0030"/>
    <n v="954.75"/>
  </r>
  <r>
    <n v="995"/>
    <d v="2024-12-12T00:00:00"/>
    <s v="Headphones"/>
    <s v="Accessories"/>
    <n v="62.17"/>
    <n v="2"/>
    <n v="0.14000000000000001"/>
    <n v="0.11"/>
    <x v="2"/>
    <s v="CUST0195"/>
    <n v="124.34"/>
  </r>
  <r>
    <n v="996"/>
    <d v="2024-01-21T00:00:00"/>
    <s v="Laptop"/>
    <s v="Electronics"/>
    <n v="410.21"/>
    <n v="1"/>
    <n v="0.22"/>
    <n v="0.22"/>
    <x v="0"/>
    <s v="CUST0245"/>
    <n v="410.21"/>
  </r>
  <r>
    <n v="997"/>
    <d v="2024-04-10T00:00:00"/>
    <s v="Keyboard"/>
    <s v="Accessories"/>
    <n v="1109.1600000000001"/>
    <n v="5"/>
    <n v="0.15"/>
    <n v="0.14000000000000001"/>
    <x v="2"/>
    <s v="CUST0190"/>
    <n v="5545.8"/>
  </r>
  <r>
    <n v="998"/>
    <d v="2024-01-25T00:00:00"/>
    <s v="Monitor"/>
    <s v="Electronics"/>
    <n v="1370.14"/>
    <n v="4"/>
    <n v="0.18"/>
    <n v="0.25"/>
    <x v="1"/>
    <s v="CUST0185"/>
    <n v="5480.56"/>
  </r>
  <r>
    <n v="999"/>
    <d v="2024-02-07T00:00:00"/>
    <s v="Laptop"/>
    <s v="Electronics"/>
    <n v="495.59"/>
    <n v="1"/>
    <n v="0.15"/>
    <n v="0.19"/>
    <x v="0"/>
    <s v="CUST0101"/>
    <n v="495.59"/>
  </r>
  <r>
    <n v="1000"/>
    <d v="2024-12-20T00:00:00"/>
    <s v="Monitor"/>
    <s v="Electronics"/>
    <n v="159.68"/>
    <n v="3"/>
    <n v="0.18"/>
    <n v="0.38"/>
    <x v="3"/>
    <s v="CUST0106"/>
    <n v="479.04"/>
  </r>
  <r>
    <n v="1001"/>
    <d v="2024-12-09T00:00:00"/>
    <s v="Mouse"/>
    <s v="Accessories"/>
    <n v="114.83"/>
    <n v="3"/>
    <n v="0.19"/>
    <n v="0.27"/>
    <x v="0"/>
    <s v="CUST0110"/>
    <n v="344.49"/>
  </r>
  <r>
    <n v="1002"/>
    <d v="2024-05-05T00:00:00"/>
    <s v="Keyboard"/>
    <s v="Accessories"/>
    <n v="794.03"/>
    <n v="1"/>
    <n v="0.06"/>
    <n v="0.11"/>
    <x v="3"/>
    <s v="CUST0030"/>
    <n v="794.03"/>
  </r>
  <r>
    <n v="1003"/>
    <d v="2024-07-29T00:00:00"/>
    <s v="Laptop"/>
    <s v="Electronics"/>
    <n v="876.25"/>
    <n v="1"/>
    <n v="0.09"/>
    <n v="0.28999999999999998"/>
    <x v="3"/>
    <s v="CUST0183"/>
    <n v="876.25"/>
  </r>
  <r>
    <n v="1004"/>
    <d v="2024-12-01T00:00:00"/>
    <s v="Mouse"/>
    <s v="Accessories"/>
    <n v="927.18"/>
    <n v="3"/>
    <n v="0.08"/>
    <n v="0.2"/>
    <x v="3"/>
    <s v="CUST0093"/>
    <n v="2781.54"/>
  </r>
  <r>
    <n v="1005"/>
    <d v="2024-05-13T00:00:00"/>
    <s v="Laptop"/>
    <s v="Electronics"/>
    <n v="318"/>
    <n v="2"/>
    <n v="0.09"/>
    <n v="0.27"/>
    <x v="3"/>
    <s v="CUST0099"/>
    <n v="636"/>
  </r>
  <r>
    <n v="1006"/>
    <d v="2024-01-10T00:00:00"/>
    <s v="Headphones"/>
    <s v="Accessories"/>
    <n v="894.74"/>
    <n v="1"/>
    <n v="0.02"/>
    <n v="0.13"/>
    <x v="2"/>
    <s v="CUST0248"/>
    <n v="894.74"/>
  </r>
  <r>
    <n v="1007"/>
    <d v="2024-11-24T00:00:00"/>
    <s v="Keyboard"/>
    <s v="Accessories"/>
    <n v="789.16"/>
    <n v="4"/>
    <n v="0.17"/>
    <n v="0.1"/>
    <x v="1"/>
    <s v="CUST0207"/>
    <n v="3156.64"/>
  </r>
  <r>
    <n v="1008"/>
    <d v="2024-05-16T00:00:00"/>
    <s v="Laptop"/>
    <s v="Electronics"/>
    <n v="917.14"/>
    <n v="4"/>
    <n v="0.19"/>
    <n v="0.3"/>
    <x v="0"/>
    <s v="CUST0027"/>
    <n v="3668.56"/>
  </r>
  <r>
    <n v="1009"/>
    <d v="2024-11-03T00:00:00"/>
    <s v="Mouse"/>
    <s v="Accessories"/>
    <n v="457.96"/>
    <n v="1"/>
    <n v="0.01"/>
    <n v="0.15"/>
    <x v="1"/>
    <s v="CUST0248"/>
    <n v="457.96"/>
  </r>
  <r>
    <n v="1010"/>
    <d v="2024-09-14T00:00:00"/>
    <s v="Mouse"/>
    <s v="Accessories"/>
    <n v="1067.8499999999999"/>
    <n v="5"/>
    <n v="0.17"/>
    <n v="0.3"/>
    <x v="3"/>
    <s v="CUST0256"/>
    <n v="5339.25"/>
  </r>
  <r>
    <n v="1011"/>
    <d v="2024-04-04T00:00:00"/>
    <s v="Keyboard"/>
    <s v="Accessories"/>
    <n v="1228.72"/>
    <n v="4"/>
    <n v="0.3"/>
    <n v="0.32"/>
    <x v="2"/>
    <s v="CUST0292"/>
    <n v="4914.88"/>
  </r>
  <r>
    <n v="1012"/>
    <d v="2024-01-09T00:00:00"/>
    <s v="Laptop"/>
    <s v="Electronics"/>
    <n v="221.07"/>
    <n v="3"/>
    <n v="0.01"/>
    <n v="0.17"/>
    <x v="2"/>
    <s v="CUST0023"/>
    <n v="663.21"/>
  </r>
  <r>
    <n v="1013"/>
    <d v="2024-06-12T00:00:00"/>
    <s v="Mouse"/>
    <s v="Accessories"/>
    <n v="228"/>
    <n v="3"/>
    <n v="7.0000000000000007E-2"/>
    <n v="0.14000000000000001"/>
    <x v="0"/>
    <s v="CUST0126"/>
    <n v="684"/>
  </r>
  <r>
    <n v="1014"/>
    <d v="2024-03-13T00:00:00"/>
    <s v="Keyboard"/>
    <s v="Accessories"/>
    <n v="762.59"/>
    <n v="4"/>
    <n v="0.11"/>
    <n v="0.37"/>
    <x v="1"/>
    <s v="CUST0251"/>
    <n v="3050.36"/>
  </r>
  <r>
    <n v="1015"/>
    <d v="2024-04-12T00:00:00"/>
    <s v="Monitor"/>
    <s v="Electronics"/>
    <n v="1146.01"/>
    <n v="2"/>
    <n v="0.2"/>
    <n v="0.38"/>
    <x v="3"/>
    <s v="CUST0080"/>
    <n v="2292.02"/>
  </r>
  <r>
    <n v="1016"/>
    <d v="2024-06-27T00:00:00"/>
    <s v="Keyboard"/>
    <s v="Accessories"/>
    <n v="1465.43"/>
    <n v="5"/>
    <n v="0.28000000000000003"/>
    <n v="0.19"/>
    <x v="0"/>
    <s v="CUST0240"/>
    <n v="7327.1500000000005"/>
  </r>
  <r>
    <n v="1017"/>
    <d v="2024-07-01T00:00:00"/>
    <s v="Monitor"/>
    <s v="Electronics"/>
    <n v="1332.28"/>
    <n v="1"/>
    <n v="0.05"/>
    <n v="0.2"/>
    <x v="2"/>
    <s v="CUST0096"/>
    <n v="1332.28"/>
  </r>
  <r>
    <n v="1018"/>
    <d v="2024-08-07T00:00:00"/>
    <s v="Headphones"/>
    <s v="Accessories"/>
    <n v="217.81"/>
    <n v="2"/>
    <n v="0.28999999999999998"/>
    <n v="0.23"/>
    <x v="3"/>
    <s v="CUST0031"/>
    <n v="435.62"/>
  </r>
  <r>
    <n v="1019"/>
    <d v="2024-12-05T00:00:00"/>
    <s v="Tablet"/>
    <s v="Electronics"/>
    <n v="330.06"/>
    <n v="3"/>
    <n v="0.09"/>
    <n v="0.23"/>
    <x v="1"/>
    <s v="CUST0094"/>
    <n v="990.18000000000006"/>
  </r>
  <r>
    <n v="1020"/>
    <d v="2024-11-13T00:00:00"/>
    <s v="Monitor"/>
    <s v="Electronics"/>
    <n v="1124.19"/>
    <n v="3"/>
    <n v="0.12"/>
    <n v="0.1"/>
    <x v="0"/>
    <s v="CUST0097"/>
    <n v="3372.57"/>
  </r>
  <r>
    <n v="1021"/>
    <d v="2024-02-04T00:00:00"/>
    <s v="Laptop"/>
    <s v="Electronics"/>
    <n v="1180.5"/>
    <n v="1"/>
    <n v="0.11"/>
    <n v="0.33"/>
    <x v="3"/>
    <s v="CUST0149"/>
    <n v="1180.5"/>
  </r>
  <r>
    <n v="1022"/>
    <d v="2024-01-30T00:00:00"/>
    <s v="Tablet"/>
    <s v="Electronics"/>
    <n v="1273.03"/>
    <n v="1"/>
    <n v="0.2"/>
    <n v="0.28999999999999998"/>
    <x v="3"/>
    <s v="CUST0056"/>
    <n v="1273.03"/>
  </r>
  <r>
    <n v="1023"/>
    <d v="2024-06-27T00:00:00"/>
    <s v="Headphones"/>
    <s v="Accessories"/>
    <n v="525.38"/>
    <n v="1"/>
    <n v="0.27"/>
    <n v="0.18"/>
    <x v="3"/>
    <s v="CUST0167"/>
    <n v="525.38"/>
  </r>
  <r>
    <n v="1024"/>
    <d v="2024-09-29T00:00:00"/>
    <s v="Tablet"/>
    <s v="Electronics"/>
    <n v="391.6"/>
    <n v="4"/>
    <n v="0.18"/>
    <n v="0.25"/>
    <x v="1"/>
    <s v="CUST0183"/>
    <n v="1566.4"/>
  </r>
  <r>
    <n v="1025"/>
    <d v="2024-02-05T00:00:00"/>
    <s v="Keyboard"/>
    <s v="Accessories"/>
    <n v="471.14"/>
    <n v="5"/>
    <n v="0.26"/>
    <n v="0.34"/>
    <x v="0"/>
    <s v="CUST0032"/>
    <n v="2355.6999999999998"/>
  </r>
  <r>
    <n v="1026"/>
    <d v="2024-12-02T00:00:00"/>
    <s v="Mouse"/>
    <s v="Accessories"/>
    <n v="241.38"/>
    <n v="2"/>
    <n v="0.28000000000000003"/>
    <n v="0.3"/>
    <x v="3"/>
    <s v="CUST0134"/>
    <n v="482.76"/>
  </r>
  <r>
    <n v="1027"/>
    <d v="2024-10-10T00:00:00"/>
    <s v="Laptop"/>
    <s v="Electronics"/>
    <n v="1012.3"/>
    <n v="3"/>
    <n v="0.15"/>
    <n v="0.14000000000000001"/>
    <x v="3"/>
    <s v="CUST0117"/>
    <n v="3036.8999999999996"/>
  </r>
  <r>
    <n v="1028"/>
    <d v="2024-01-21T00:00:00"/>
    <s v="Monitor"/>
    <s v="Electronics"/>
    <n v="1208.53"/>
    <n v="5"/>
    <n v="0.04"/>
    <n v="0.39"/>
    <x v="3"/>
    <s v="CUST0174"/>
    <n v="6042.65"/>
  </r>
  <r>
    <n v="1029"/>
    <d v="2024-08-11T00:00:00"/>
    <s v="Laptop"/>
    <s v="Electronics"/>
    <n v="1031.9100000000001"/>
    <n v="3"/>
    <n v="0.24"/>
    <n v="0.38"/>
    <x v="1"/>
    <s v="CUST0184"/>
    <n v="3095.7300000000005"/>
  </r>
  <r>
    <n v="1030"/>
    <d v="2024-07-18T00:00:00"/>
    <s v="Monitor"/>
    <s v="Electronics"/>
    <n v="1180.24"/>
    <n v="1"/>
    <n v="0.3"/>
    <n v="0.28000000000000003"/>
    <x v="0"/>
    <s v="CUST0040"/>
    <n v="1180.24"/>
  </r>
  <r>
    <n v="1031"/>
    <d v="2024-08-24T00:00:00"/>
    <s v="Monitor"/>
    <s v="Electronics"/>
    <n v="1024.6400000000001"/>
    <n v="4"/>
    <n v="0.19"/>
    <n v="0.28999999999999998"/>
    <x v="3"/>
    <s v="CUST0006"/>
    <n v="4098.5600000000004"/>
  </r>
  <r>
    <n v="1032"/>
    <d v="2024-06-20T00:00:00"/>
    <s v="Monitor"/>
    <s v="Electronics"/>
    <n v="104.11"/>
    <n v="3"/>
    <n v="0.28999999999999998"/>
    <n v="0.17"/>
    <x v="2"/>
    <s v="CUST0155"/>
    <n v="312.33"/>
  </r>
  <r>
    <n v="1033"/>
    <d v="2024-06-26T00:00:00"/>
    <s v="Mouse"/>
    <s v="Accessories"/>
    <n v="311.94"/>
    <n v="3"/>
    <n v="0.25"/>
    <n v="0.26"/>
    <x v="1"/>
    <s v="CUST0082"/>
    <n v="935.81999999999994"/>
  </r>
  <r>
    <n v="1034"/>
    <d v="2024-08-14T00:00:00"/>
    <s v="Keyboard"/>
    <s v="Accessories"/>
    <n v="617.64"/>
    <n v="5"/>
    <n v="0.15"/>
    <n v="0.28000000000000003"/>
    <x v="3"/>
    <s v="CUST0010"/>
    <n v="3088.2"/>
  </r>
  <r>
    <n v="1035"/>
    <d v="2024-04-25T00:00:00"/>
    <s v="Mouse"/>
    <s v="Accessories"/>
    <n v="1194.77"/>
    <n v="3"/>
    <n v="0.21"/>
    <n v="0.13"/>
    <x v="0"/>
    <s v="CUST0126"/>
    <n v="3584.31"/>
  </r>
  <r>
    <n v="1036"/>
    <d v="2024-01-24T00:00:00"/>
    <s v="Monitor"/>
    <s v="Electronics"/>
    <n v="716.47"/>
    <n v="5"/>
    <n v="0.28000000000000003"/>
    <n v="0.14000000000000001"/>
    <x v="1"/>
    <s v="CUST0108"/>
    <n v="3582.3500000000004"/>
  </r>
  <r>
    <n v="1037"/>
    <d v="2024-11-30T00:00:00"/>
    <s v="Tablet"/>
    <s v="Electronics"/>
    <n v="230.39"/>
    <n v="2"/>
    <n v="0.12"/>
    <n v="0.37"/>
    <x v="1"/>
    <s v="CUST0010"/>
    <n v="460.78"/>
  </r>
  <r>
    <n v="1038"/>
    <d v="2024-09-20T00:00:00"/>
    <s v="Headphones"/>
    <s v="Accessories"/>
    <n v="129.6"/>
    <n v="3"/>
    <n v="0.2"/>
    <n v="0.28999999999999998"/>
    <x v="3"/>
    <s v="CUST0127"/>
    <n v="388.79999999999995"/>
  </r>
  <r>
    <n v="1039"/>
    <d v="2024-12-17T00:00:00"/>
    <s v="Monitor"/>
    <s v="Electronics"/>
    <n v="1050.4000000000001"/>
    <n v="5"/>
    <n v="0.09"/>
    <n v="0.33"/>
    <x v="2"/>
    <s v="CUST0097"/>
    <n v="5252"/>
  </r>
  <r>
    <n v="1040"/>
    <d v="2024-03-19T00:00:00"/>
    <s v="Tablet"/>
    <s v="Electronics"/>
    <n v="884.38"/>
    <n v="4"/>
    <n v="0.16"/>
    <n v="0.39"/>
    <x v="0"/>
    <s v="CUST0189"/>
    <n v="3537.52"/>
  </r>
  <r>
    <n v="1041"/>
    <d v="2024-07-10T00:00:00"/>
    <s v="Headphones"/>
    <s v="Accessories"/>
    <n v="551.86"/>
    <n v="1"/>
    <n v="0.05"/>
    <n v="0.15"/>
    <x v="1"/>
    <s v="CUST0226"/>
    <n v="551.86"/>
  </r>
  <r>
    <n v="1042"/>
    <d v="2024-03-29T00:00:00"/>
    <s v="Tablet"/>
    <s v="Electronics"/>
    <n v="773.94"/>
    <n v="3"/>
    <n v="7.0000000000000007E-2"/>
    <n v="0.12"/>
    <x v="1"/>
    <s v="CUST0237"/>
    <n v="2321.8200000000002"/>
  </r>
  <r>
    <n v="1043"/>
    <d v="2024-01-22T00:00:00"/>
    <s v="Tablet"/>
    <s v="Electronics"/>
    <n v="903.17"/>
    <n v="5"/>
    <n v="0.14000000000000001"/>
    <n v="0.22"/>
    <x v="2"/>
    <s v="CUST0213"/>
    <n v="4515.8499999999995"/>
  </r>
  <r>
    <n v="1044"/>
    <d v="2024-09-29T00:00:00"/>
    <s v="Tablet"/>
    <s v="Electronics"/>
    <n v="313.68"/>
    <n v="2"/>
    <n v="0.19"/>
    <n v="0.23"/>
    <x v="2"/>
    <s v="CUST0066"/>
    <n v="627.36"/>
  </r>
  <r>
    <n v="1045"/>
    <d v="2024-12-15T00:00:00"/>
    <s v="Tablet"/>
    <s v="Electronics"/>
    <n v="433.38"/>
    <n v="2"/>
    <n v="0.28000000000000003"/>
    <n v="0.3"/>
    <x v="3"/>
    <s v="CUST0061"/>
    <n v="866.76"/>
  </r>
  <r>
    <n v="1046"/>
    <d v="2024-01-16T00:00:00"/>
    <s v="Monitor"/>
    <s v="Electronics"/>
    <n v="904.17"/>
    <n v="1"/>
    <n v="0.13"/>
    <n v="0.38"/>
    <x v="3"/>
    <s v="CUST0216"/>
    <n v="904.17"/>
  </r>
  <r>
    <n v="1047"/>
    <d v="2024-07-03T00:00:00"/>
    <s v="Keyboard"/>
    <s v="Accessories"/>
    <n v="580.21"/>
    <n v="5"/>
    <n v="0.06"/>
    <n v="0.23"/>
    <x v="3"/>
    <s v="CUST0069"/>
    <n v="2901.05"/>
  </r>
  <r>
    <n v="1048"/>
    <d v="2024-10-04T00:00:00"/>
    <s v="Laptop"/>
    <s v="Electronics"/>
    <n v="180.47"/>
    <n v="3"/>
    <n v="0.27"/>
    <n v="0.35"/>
    <x v="2"/>
    <s v="CUST0038"/>
    <n v="541.41"/>
  </r>
  <r>
    <n v="1049"/>
    <d v="2024-01-18T00:00:00"/>
    <s v="Tablet"/>
    <s v="Electronics"/>
    <n v="1237.79"/>
    <n v="5"/>
    <n v="0.04"/>
    <n v="0.12"/>
    <x v="0"/>
    <s v="CUST0168"/>
    <n v="6188.95"/>
  </r>
  <r>
    <n v="1050"/>
    <d v="2024-05-04T00:00:00"/>
    <s v="Laptop"/>
    <s v="Electronics"/>
    <n v="1091.1099999999999"/>
    <n v="1"/>
    <n v="0.21"/>
    <n v="0.19"/>
    <x v="1"/>
    <s v="CUST0123"/>
    <n v="1091.1099999999999"/>
  </r>
  <r>
    <n v="1051"/>
    <d v="2024-04-15T00:00:00"/>
    <s v="Keyboard"/>
    <s v="Accessories"/>
    <n v="539.53"/>
    <n v="3"/>
    <n v="0.22"/>
    <n v="0.31"/>
    <x v="0"/>
    <s v="CUST0044"/>
    <n v="1618.59"/>
  </r>
  <r>
    <n v="1052"/>
    <d v="2024-10-16T00:00:00"/>
    <s v="Tablet"/>
    <s v="Electronics"/>
    <n v="188.14"/>
    <n v="4"/>
    <n v="0.28000000000000003"/>
    <n v="0.13"/>
    <x v="1"/>
    <s v="CUST0013"/>
    <n v="752.56"/>
  </r>
  <r>
    <n v="1053"/>
    <d v="2024-01-18T00:00:00"/>
    <s v="Laptop"/>
    <s v="Electronics"/>
    <n v="104.4"/>
    <n v="2"/>
    <n v="0.08"/>
    <n v="0.28999999999999998"/>
    <x v="0"/>
    <s v="CUST0246"/>
    <n v="208.8"/>
  </r>
  <r>
    <n v="1054"/>
    <d v="2024-03-19T00:00:00"/>
    <s v="Monitor"/>
    <s v="Electronics"/>
    <n v="692"/>
    <n v="1"/>
    <n v="0.13"/>
    <n v="0.3"/>
    <x v="3"/>
    <s v="CUST0210"/>
    <n v="692"/>
  </r>
  <r>
    <n v="1055"/>
    <d v="2024-07-14T00:00:00"/>
    <s v="Tablet"/>
    <s v="Electronics"/>
    <n v="1165.45"/>
    <n v="3"/>
    <n v="0.01"/>
    <n v="0.26"/>
    <x v="3"/>
    <s v="CUST0034"/>
    <n v="3496.3500000000004"/>
  </r>
  <r>
    <n v="1056"/>
    <d v="2024-07-11T00:00:00"/>
    <s v="Keyboard"/>
    <s v="Accessories"/>
    <n v="1483.54"/>
    <n v="2"/>
    <n v="0.3"/>
    <n v="0.33"/>
    <x v="0"/>
    <s v="CUST0266"/>
    <n v="2967.08"/>
  </r>
  <r>
    <n v="1057"/>
    <d v="2024-11-29T00:00:00"/>
    <s v="Tablet"/>
    <s v="Electronics"/>
    <n v="1332.59"/>
    <n v="1"/>
    <n v="0.26"/>
    <n v="0.13"/>
    <x v="1"/>
    <s v="CUST0007"/>
    <n v="1332.59"/>
  </r>
  <r>
    <n v="1058"/>
    <d v="2024-07-16T00:00:00"/>
    <s v="Headphones"/>
    <s v="Accessories"/>
    <n v="1291.67"/>
    <n v="4"/>
    <n v="0.28999999999999998"/>
    <n v="0.14000000000000001"/>
    <x v="3"/>
    <s v="CUST0026"/>
    <n v="5166.68"/>
  </r>
  <r>
    <n v="1059"/>
    <d v="2024-08-28T00:00:00"/>
    <s v="Tablet"/>
    <s v="Electronics"/>
    <n v="522.55999999999995"/>
    <n v="3"/>
    <n v="0"/>
    <n v="0.19"/>
    <x v="2"/>
    <s v="CUST0233"/>
    <n v="1567.6799999999998"/>
  </r>
  <r>
    <n v="1060"/>
    <d v="2024-11-11T00:00:00"/>
    <s v="Tablet"/>
    <s v="Electronics"/>
    <n v="227.11"/>
    <n v="3"/>
    <n v="0.13"/>
    <n v="0.12"/>
    <x v="1"/>
    <s v="CUST0209"/>
    <n v="681.33"/>
  </r>
  <r>
    <n v="1061"/>
    <d v="2024-02-11T00:00:00"/>
    <s v="Tablet"/>
    <s v="Electronics"/>
    <n v="640.66"/>
    <n v="5"/>
    <n v="0.26"/>
    <n v="0.37"/>
    <x v="0"/>
    <s v="CUST0036"/>
    <n v="3203.2999999999997"/>
  </r>
  <r>
    <n v="1062"/>
    <d v="2024-07-25T00:00:00"/>
    <s v="Keyboard"/>
    <s v="Accessories"/>
    <n v="182.53"/>
    <n v="2"/>
    <n v="0.09"/>
    <n v="0.19"/>
    <x v="1"/>
    <s v="CUST0177"/>
    <n v="365.06"/>
  </r>
  <r>
    <n v="1063"/>
    <d v="2024-10-17T00:00:00"/>
    <s v="Keyboard"/>
    <s v="Accessories"/>
    <n v="1180.1600000000001"/>
    <n v="3"/>
    <n v="0.19"/>
    <n v="0.14000000000000001"/>
    <x v="1"/>
    <s v="CUST0150"/>
    <n v="3540.4800000000005"/>
  </r>
  <r>
    <n v="1064"/>
    <d v="2024-11-16T00:00:00"/>
    <s v="Mouse"/>
    <s v="Accessories"/>
    <n v="1147.31"/>
    <n v="1"/>
    <n v="0.25"/>
    <n v="0.26"/>
    <x v="0"/>
    <s v="CUST0182"/>
    <n v="1147.31"/>
  </r>
  <r>
    <n v="1065"/>
    <d v="2024-03-01T00:00:00"/>
    <s v="Headphones"/>
    <s v="Accessories"/>
    <n v="1434.29"/>
    <n v="3"/>
    <n v="0.22"/>
    <n v="0.14000000000000001"/>
    <x v="2"/>
    <s v="CUST0281"/>
    <n v="4302.87"/>
  </r>
  <r>
    <n v="1066"/>
    <d v="2024-03-14T00:00:00"/>
    <s v="Mouse"/>
    <s v="Accessories"/>
    <n v="737.21"/>
    <n v="2"/>
    <n v="0.15"/>
    <n v="0.33"/>
    <x v="0"/>
    <s v="CUST0198"/>
    <n v="1474.42"/>
  </r>
  <r>
    <n v="1067"/>
    <d v="2024-06-29T00:00:00"/>
    <s v="Laptop"/>
    <s v="Electronics"/>
    <n v="766.14"/>
    <n v="1"/>
    <n v="0.25"/>
    <n v="0.37"/>
    <x v="0"/>
    <s v="CUST0198"/>
    <n v="766.14"/>
  </r>
  <r>
    <n v="1068"/>
    <d v="2024-03-18T00:00:00"/>
    <s v="Keyboard"/>
    <s v="Accessories"/>
    <n v="444.17"/>
    <n v="2"/>
    <n v="0.11"/>
    <n v="0.22"/>
    <x v="3"/>
    <s v="CUST0010"/>
    <n v="888.34"/>
  </r>
  <r>
    <n v="1069"/>
    <d v="2024-03-21T00:00:00"/>
    <s v="Headphones"/>
    <s v="Accessories"/>
    <n v="682.04"/>
    <n v="3"/>
    <n v="0.21"/>
    <n v="0.16"/>
    <x v="2"/>
    <s v="CUST0259"/>
    <n v="2046.12"/>
  </r>
  <r>
    <n v="1070"/>
    <d v="2024-02-27T00:00:00"/>
    <s v="Keyboard"/>
    <s v="Accessories"/>
    <n v="767.43"/>
    <n v="1"/>
    <n v="0.19"/>
    <n v="0.15"/>
    <x v="0"/>
    <s v="CUST0082"/>
    <n v="767.43"/>
  </r>
  <r>
    <n v="1071"/>
    <d v="2024-01-23T00:00:00"/>
    <s v="Mouse"/>
    <s v="Accessories"/>
    <n v="153.97999999999999"/>
    <n v="2"/>
    <n v="7.0000000000000007E-2"/>
    <n v="0.16"/>
    <x v="2"/>
    <s v="CUST0122"/>
    <n v="307.95999999999998"/>
  </r>
  <r>
    <n v="1072"/>
    <d v="2024-02-05T00:00:00"/>
    <s v="Mouse"/>
    <s v="Accessories"/>
    <n v="429.13"/>
    <n v="4"/>
    <n v="0.28999999999999998"/>
    <n v="0.32"/>
    <x v="0"/>
    <s v="CUST0071"/>
    <n v="1716.52"/>
  </r>
  <r>
    <n v="1073"/>
    <d v="2024-02-24T00:00:00"/>
    <s v="Laptop"/>
    <s v="Electronics"/>
    <n v="289.17"/>
    <n v="3"/>
    <n v="0.28000000000000003"/>
    <n v="0.14000000000000001"/>
    <x v="3"/>
    <s v="CUST0225"/>
    <n v="867.51"/>
  </r>
  <r>
    <n v="1074"/>
    <d v="2024-12-08T00:00:00"/>
    <s v="Keyboard"/>
    <s v="Accessories"/>
    <n v="1248"/>
    <n v="5"/>
    <n v="0.1"/>
    <n v="0.28999999999999998"/>
    <x v="0"/>
    <s v="CUST0162"/>
    <n v="6240"/>
  </r>
  <r>
    <n v="1075"/>
    <d v="2024-01-03T00:00:00"/>
    <s v="Mouse"/>
    <s v="Accessories"/>
    <n v="959.06"/>
    <n v="1"/>
    <n v="0.28000000000000003"/>
    <n v="0.38"/>
    <x v="1"/>
    <s v="CUST0291"/>
    <n v="959.06"/>
  </r>
  <r>
    <n v="1076"/>
    <d v="2024-03-01T00:00:00"/>
    <s v="Keyboard"/>
    <s v="Accessories"/>
    <n v="1243.26"/>
    <n v="2"/>
    <n v="0.28000000000000003"/>
    <n v="0.35"/>
    <x v="2"/>
    <s v="CUST0085"/>
    <n v="2486.52"/>
  </r>
  <r>
    <n v="1077"/>
    <d v="2024-08-15T00:00:00"/>
    <s v="Headphones"/>
    <s v="Accessories"/>
    <n v="487.71"/>
    <n v="2"/>
    <n v="0.04"/>
    <n v="0.28000000000000003"/>
    <x v="0"/>
    <s v="CUST0176"/>
    <n v="975.42"/>
  </r>
  <r>
    <n v="1078"/>
    <d v="2024-07-09T00:00:00"/>
    <s v="Tablet"/>
    <s v="Electronics"/>
    <n v="839.11"/>
    <n v="4"/>
    <n v="0.04"/>
    <n v="0.16"/>
    <x v="2"/>
    <s v="CUST0155"/>
    <n v="3356.44"/>
  </r>
  <r>
    <n v="1079"/>
    <d v="2024-02-10T00:00:00"/>
    <s v="Mouse"/>
    <s v="Accessories"/>
    <n v="995.2"/>
    <n v="3"/>
    <n v="0.19"/>
    <n v="0.28000000000000003"/>
    <x v="2"/>
    <s v="CUST0035"/>
    <n v="2985.6000000000004"/>
  </r>
  <r>
    <n v="1080"/>
    <d v="2024-07-05T00:00:00"/>
    <s v="Keyboard"/>
    <s v="Accessories"/>
    <n v="800.97"/>
    <n v="3"/>
    <n v="0.21"/>
    <n v="0.16"/>
    <x v="0"/>
    <s v="CUST0299"/>
    <n v="2402.91"/>
  </r>
  <r>
    <n v="1081"/>
    <d v="2024-01-13T00:00:00"/>
    <s v="Monitor"/>
    <s v="Electronics"/>
    <n v="1206.3800000000001"/>
    <n v="2"/>
    <n v="0.11"/>
    <n v="0.26"/>
    <x v="2"/>
    <s v="CUST0063"/>
    <n v="2412.7600000000002"/>
  </r>
  <r>
    <n v="1082"/>
    <d v="2024-07-21T00:00:00"/>
    <s v="Keyboard"/>
    <s v="Accessories"/>
    <n v="530.82000000000005"/>
    <n v="4"/>
    <n v="0.01"/>
    <n v="0.31"/>
    <x v="3"/>
    <s v="CUST0253"/>
    <n v="2123.2800000000002"/>
  </r>
  <r>
    <n v="1083"/>
    <d v="2024-02-10T00:00:00"/>
    <s v="Monitor"/>
    <s v="Electronics"/>
    <n v="107.22"/>
    <n v="5"/>
    <n v="0.11"/>
    <n v="0.13"/>
    <x v="0"/>
    <s v="CUST0293"/>
    <n v="536.1"/>
  </r>
  <r>
    <n v="1084"/>
    <d v="2024-05-09T00:00:00"/>
    <s v="Headphones"/>
    <s v="Accessories"/>
    <n v="143.86000000000001"/>
    <n v="1"/>
    <n v="0.03"/>
    <n v="0.37"/>
    <x v="3"/>
    <s v="CUST0128"/>
    <n v="143.86000000000001"/>
  </r>
  <r>
    <n v="1085"/>
    <d v="2024-12-02T00:00:00"/>
    <s v="Laptop"/>
    <s v="Electronics"/>
    <n v="610.98"/>
    <n v="4"/>
    <n v="0.04"/>
    <n v="0.19"/>
    <x v="0"/>
    <s v="CUST0261"/>
    <n v="2443.92"/>
  </r>
  <r>
    <n v="1086"/>
    <d v="2024-07-21T00:00:00"/>
    <s v="Laptop"/>
    <s v="Electronics"/>
    <n v="189.44"/>
    <n v="2"/>
    <n v="0.28999999999999998"/>
    <n v="0.16"/>
    <x v="1"/>
    <s v="CUST0263"/>
    <n v="378.88"/>
  </r>
  <r>
    <n v="1087"/>
    <d v="2024-12-30T00:00:00"/>
    <s v="Keyboard"/>
    <s v="Accessories"/>
    <n v="379.32"/>
    <n v="2"/>
    <n v="0.27"/>
    <n v="0.27"/>
    <x v="0"/>
    <s v="CUST0116"/>
    <n v="758.64"/>
  </r>
  <r>
    <n v="1088"/>
    <d v="2024-03-22T00:00:00"/>
    <s v="Headphones"/>
    <s v="Accessories"/>
    <n v="1318.01"/>
    <n v="2"/>
    <n v="0.05"/>
    <n v="0.37"/>
    <x v="1"/>
    <s v="CUST0040"/>
    <n v="2636.02"/>
  </r>
  <r>
    <n v="1089"/>
    <d v="2024-02-16T00:00:00"/>
    <s v="Tablet"/>
    <s v="Electronics"/>
    <n v="321.86"/>
    <n v="1"/>
    <n v="0.03"/>
    <n v="0.1"/>
    <x v="1"/>
    <s v="CUST0266"/>
    <n v="321.86"/>
  </r>
  <r>
    <n v="1090"/>
    <d v="2024-09-03T00:00:00"/>
    <s v="Laptop"/>
    <s v="Electronics"/>
    <n v="1324.32"/>
    <n v="1"/>
    <n v="0.09"/>
    <n v="0.25"/>
    <x v="1"/>
    <s v="CUST0295"/>
    <n v="1324.32"/>
  </r>
  <r>
    <n v="1091"/>
    <d v="2024-06-22T00:00:00"/>
    <s v="Monitor"/>
    <s v="Electronics"/>
    <n v="1122.26"/>
    <n v="4"/>
    <n v="0.15"/>
    <n v="0.31"/>
    <x v="0"/>
    <s v="CUST0197"/>
    <n v="4489.04"/>
  </r>
  <r>
    <n v="1092"/>
    <d v="2024-10-24T00:00:00"/>
    <s v="Headphones"/>
    <s v="Accessories"/>
    <n v="1443.29"/>
    <n v="2"/>
    <n v="0.25"/>
    <n v="0.16"/>
    <x v="1"/>
    <s v="CUST0075"/>
    <n v="2886.58"/>
  </r>
  <r>
    <n v="1093"/>
    <d v="2024-11-14T00:00:00"/>
    <s v="Laptop"/>
    <s v="Electronics"/>
    <n v="841.5"/>
    <n v="4"/>
    <n v="0.23"/>
    <n v="0.34"/>
    <x v="0"/>
    <s v="CUST0194"/>
    <n v="3366"/>
  </r>
  <r>
    <n v="1094"/>
    <d v="2024-11-03T00:00:00"/>
    <s v="Laptop"/>
    <s v="Electronics"/>
    <n v="1094.54"/>
    <n v="1"/>
    <n v="0.25"/>
    <n v="0.21"/>
    <x v="2"/>
    <s v="CUST0013"/>
    <n v="1094.54"/>
  </r>
  <r>
    <n v="1095"/>
    <d v="2024-11-13T00:00:00"/>
    <s v="Monitor"/>
    <s v="Electronics"/>
    <n v="1192.1400000000001"/>
    <n v="4"/>
    <n v="0.24"/>
    <n v="0.35"/>
    <x v="2"/>
    <s v="CUST0273"/>
    <n v="4768.5600000000004"/>
  </r>
  <r>
    <n v="1096"/>
    <d v="2024-07-18T00:00:00"/>
    <s v="Mouse"/>
    <s v="Accessories"/>
    <n v="682.78"/>
    <n v="1"/>
    <n v="0.12"/>
    <n v="0.3"/>
    <x v="2"/>
    <s v="CUST0275"/>
    <n v="682.78"/>
  </r>
  <r>
    <n v="1097"/>
    <d v="2024-03-11T00:00:00"/>
    <s v="Tablet"/>
    <s v="Electronics"/>
    <n v="1129.72"/>
    <n v="4"/>
    <n v="0.19"/>
    <n v="0.24"/>
    <x v="1"/>
    <s v="CUST0042"/>
    <n v="4518.88"/>
  </r>
  <r>
    <n v="1098"/>
    <d v="2024-06-09T00:00:00"/>
    <s v="Laptop"/>
    <s v="Electronics"/>
    <n v="1130.32"/>
    <n v="3"/>
    <n v="0.03"/>
    <n v="0.28000000000000003"/>
    <x v="3"/>
    <s v="CUST0206"/>
    <n v="3390.96"/>
  </r>
  <r>
    <n v="1099"/>
    <d v="2024-03-08T00:00:00"/>
    <s v="Headphones"/>
    <s v="Accessories"/>
    <n v="1129.2"/>
    <n v="5"/>
    <n v="0.11"/>
    <n v="0.13"/>
    <x v="0"/>
    <s v="CUST0007"/>
    <n v="5646"/>
  </r>
  <r>
    <n v="1100"/>
    <d v="2024-02-18T00:00:00"/>
    <s v="Tablet"/>
    <s v="Electronics"/>
    <n v="1079.81"/>
    <n v="3"/>
    <n v="0.18"/>
    <n v="0.34"/>
    <x v="1"/>
    <s v="CUST0005"/>
    <n v="3239.43"/>
  </r>
  <r>
    <n v="1101"/>
    <d v="2024-04-07T00:00:00"/>
    <s v="Headphones"/>
    <s v="Accessories"/>
    <n v="1349.48"/>
    <n v="4"/>
    <n v="0.16"/>
    <n v="0.28999999999999998"/>
    <x v="0"/>
    <s v="CUST0070"/>
    <n v="5397.92"/>
  </r>
  <r>
    <n v="1102"/>
    <d v="2024-03-06T00:00:00"/>
    <s v="Monitor"/>
    <s v="Electronics"/>
    <n v="1008.43"/>
    <n v="5"/>
    <n v="0.06"/>
    <n v="0.1"/>
    <x v="2"/>
    <s v="CUST0109"/>
    <n v="5042.1499999999996"/>
  </r>
  <r>
    <n v="1103"/>
    <d v="2024-05-09T00:00:00"/>
    <s v="Monitor"/>
    <s v="Electronics"/>
    <n v="57.58"/>
    <n v="5"/>
    <n v="0.2"/>
    <n v="0.35"/>
    <x v="2"/>
    <s v="CUST0213"/>
    <n v="287.89999999999998"/>
  </r>
  <r>
    <n v="1104"/>
    <d v="2024-10-22T00:00:00"/>
    <s v="Monitor"/>
    <s v="Electronics"/>
    <n v="250.89"/>
    <n v="3"/>
    <n v="0.28000000000000003"/>
    <n v="0.25"/>
    <x v="3"/>
    <s v="CUST0289"/>
    <n v="752.67"/>
  </r>
  <r>
    <n v="1105"/>
    <d v="2024-02-13T00:00:00"/>
    <s v="Monitor"/>
    <s v="Electronics"/>
    <n v="1160.3800000000001"/>
    <n v="4"/>
    <n v="0.13"/>
    <n v="0.19"/>
    <x v="2"/>
    <s v="CUST0264"/>
    <n v="4641.5200000000004"/>
  </r>
  <r>
    <n v="1106"/>
    <d v="2024-01-12T00:00:00"/>
    <s v="Monitor"/>
    <s v="Electronics"/>
    <n v="981.49"/>
    <n v="5"/>
    <n v="0.27"/>
    <n v="0.14000000000000001"/>
    <x v="3"/>
    <s v="CUST0261"/>
    <n v="4907.45"/>
  </r>
  <r>
    <n v="1107"/>
    <d v="2024-02-17T00:00:00"/>
    <s v="Tablet"/>
    <s v="Electronics"/>
    <n v="1267.1099999999999"/>
    <n v="5"/>
    <n v="0.12"/>
    <n v="0.24"/>
    <x v="2"/>
    <s v="CUST0105"/>
    <n v="6335.5499999999993"/>
  </r>
  <r>
    <n v="1108"/>
    <d v="2024-10-30T00:00:00"/>
    <s v="Mouse"/>
    <s v="Accessories"/>
    <n v="886.28"/>
    <n v="4"/>
    <n v="0.26"/>
    <n v="0.13"/>
    <x v="2"/>
    <s v="CUST0076"/>
    <n v="3545.12"/>
  </r>
  <r>
    <n v="1109"/>
    <d v="2024-03-09T00:00:00"/>
    <s v="Monitor"/>
    <s v="Electronics"/>
    <n v="550.24"/>
    <n v="5"/>
    <n v="0.05"/>
    <n v="0.23"/>
    <x v="3"/>
    <s v="CUST0115"/>
    <n v="2751.2"/>
  </r>
  <r>
    <n v="1110"/>
    <d v="2024-01-17T00:00:00"/>
    <s v="Keyboard"/>
    <s v="Accessories"/>
    <n v="1067.24"/>
    <n v="5"/>
    <n v="0.04"/>
    <n v="0.14000000000000001"/>
    <x v="2"/>
    <s v="CUST0078"/>
    <n v="5336.2"/>
  </r>
  <r>
    <n v="1111"/>
    <d v="2024-04-15T00:00:00"/>
    <s v="Headphones"/>
    <s v="Accessories"/>
    <n v="789.16"/>
    <n v="5"/>
    <n v="0.25"/>
    <n v="0.31"/>
    <x v="2"/>
    <s v="CUST0150"/>
    <n v="3945.7999999999997"/>
  </r>
  <r>
    <n v="1112"/>
    <d v="2024-09-22T00:00:00"/>
    <s v="Keyboard"/>
    <s v="Accessories"/>
    <n v="1008.72"/>
    <n v="3"/>
    <n v="0.09"/>
    <n v="0.18"/>
    <x v="0"/>
    <s v="CUST0074"/>
    <n v="3026.16"/>
  </r>
  <r>
    <n v="1113"/>
    <d v="2024-01-10T00:00:00"/>
    <s v="Laptop"/>
    <s v="Electronics"/>
    <n v="1396.99"/>
    <n v="4"/>
    <n v="0.03"/>
    <n v="0.26"/>
    <x v="2"/>
    <s v="CUST0232"/>
    <n v="5587.96"/>
  </r>
  <r>
    <n v="1114"/>
    <d v="2024-09-13T00:00:00"/>
    <s v="Tablet"/>
    <s v="Electronics"/>
    <n v="1095.98"/>
    <n v="1"/>
    <n v="0.24"/>
    <n v="0.34"/>
    <x v="3"/>
    <s v="CUST0273"/>
    <n v="1095.98"/>
  </r>
  <r>
    <n v="1115"/>
    <d v="2024-03-25T00:00:00"/>
    <s v="Tablet"/>
    <s v="Electronics"/>
    <n v="857.51"/>
    <n v="4"/>
    <n v="0.05"/>
    <n v="0.31"/>
    <x v="2"/>
    <s v="CUST0277"/>
    <n v="3430.04"/>
  </r>
  <r>
    <n v="1116"/>
    <d v="2024-01-12T00:00:00"/>
    <s v="Keyboard"/>
    <s v="Accessories"/>
    <n v="935.36"/>
    <n v="4"/>
    <n v="0.17"/>
    <n v="0.14000000000000001"/>
    <x v="3"/>
    <s v="CUST0249"/>
    <n v="3741.44"/>
  </r>
  <r>
    <n v="1117"/>
    <d v="2024-09-23T00:00:00"/>
    <s v="Keyboard"/>
    <s v="Accessories"/>
    <n v="1149.26"/>
    <n v="2"/>
    <n v="0.06"/>
    <n v="0.2"/>
    <x v="2"/>
    <s v="CUST0110"/>
    <n v="2298.52"/>
  </r>
  <r>
    <n v="1118"/>
    <d v="2024-05-18T00:00:00"/>
    <s v="Mouse"/>
    <s v="Accessories"/>
    <n v="944.48"/>
    <n v="4"/>
    <n v="0.15"/>
    <n v="0.26"/>
    <x v="3"/>
    <s v="CUST0280"/>
    <n v="3777.92"/>
  </r>
  <r>
    <n v="1119"/>
    <d v="2024-01-08T00:00:00"/>
    <s v="Tablet"/>
    <s v="Electronics"/>
    <n v="226.15"/>
    <n v="4"/>
    <n v="0.06"/>
    <n v="0.34"/>
    <x v="1"/>
    <s v="CUST0077"/>
    <n v="904.6"/>
  </r>
  <r>
    <n v="1120"/>
    <d v="2024-08-29T00:00:00"/>
    <s v="Headphones"/>
    <s v="Accessories"/>
    <n v="1167.27"/>
    <n v="2"/>
    <n v="0.13"/>
    <n v="0.3"/>
    <x v="1"/>
    <s v="CUST0121"/>
    <n v="2334.54"/>
  </r>
  <r>
    <n v="1121"/>
    <d v="2024-01-20T00:00:00"/>
    <s v="Keyboard"/>
    <s v="Accessories"/>
    <n v="433.21"/>
    <n v="5"/>
    <n v="0.04"/>
    <n v="0.12"/>
    <x v="0"/>
    <s v="CUST0176"/>
    <n v="2166.0499999999997"/>
  </r>
  <r>
    <n v="1122"/>
    <d v="2024-09-02T00:00:00"/>
    <s v="Monitor"/>
    <s v="Electronics"/>
    <n v="1385.9"/>
    <n v="1"/>
    <n v="0.1"/>
    <n v="0.32"/>
    <x v="3"/>
    <s v="CUST0067"/>
    <n v="1385.9"/>
  </r>
  <r>
    <n v="1123"/>
    <d v="2024-05-24T00:00:00"/>
    <s v="Tablet"/>
    <s v="Electronics"/>
    <n v="1297.17"/>
    <n v="4"/>
    <n v="0.26"/>
    <n v="0.11"/>
    <x v="1"/>
    <s v="CUST0169"/>
    <n v="5188.68"/>
  </r>
  <r>
    <n v="1124"/>
    <d v="2024-09-04T00:00:00"/>
    <s v="Tablet"/>
    <s v="Electronics"/>
    <n v="944.69"/>
    <n v="3"/>
    <n v="0.03"/>
    <n v="0.39"/>
    <x v="0"/>
    <s v="CUST0042"/>
    <n v="2834.07"/>
  </r>
  <r>
    <n v="1125"/>
    <d v="2024-01-18T00:00:00"/>
    <s v="Headphones"/>
    <s v="Accessories"/>
    <n v="289.91000000000003"/>
    <n v="1"/>
    <n v="7.0000000000000007E-2"/>
    <n v="0.25"/>
    <x v="0"/>
    <s v="CUST0202"/>
    <n v="289.91000000000003"/>
  </r>
  <r>
    <n v="1126"/>
    <d v="2024-10-24T00:00:00"/>
    <s v="Mouse"/>
    <s v="Accessories"/>
    <n v="135.47"/>
    <n v="1"/>
    <n v="0.14000000000000001"/>
    <n v="0.35"/>
    <x v="2"/>
    <s v="CUST0048"/>
    <n v="135.47"/>
  </r>
  <r>
    <n v="1127"/>
    <d v="2024-10-08T00:00:00"/>
    <s v="Mouse"/>
    <s v="Accessories"/>
    <n v="312.56"/>
    <n v="1"/>
    <n v="0.23"/>
    <n v="0.12"/>
    <x v="1"/>
    <s v="CUST0214"/>
    <n v="312.56"/>
  </r>
  <r>
    <n v="1128"/>
    <d v="2024-12-08T00:00:00"/>
    <s v="Keyboard"/>
    <s v="Accessories"/>
    <n v="712.72"/>
    <n v="2"/>
    <n v="0.12"/>
    <n v="0.23"/>
    <x v="2"/>
    <s v="CUST0083"/>
    <n v="1425.44"/>
  </r>
  <r>
    <n v="1129"/>
    <d v="2024-08-16T00:00:00"/>
    <s v="Headphones"/>
    <s v="Accessories"/>
    <n v="199.01"/>
    <n v="1"/>
    <n v="0.25"/>
    <n v="0.18"/>
    <x v="0"/>
    <s v="CUST0166"/>
    <n v="199.01"/>
  </r>
  <r>
    <n v="1130"/>
    <d v="2024-04-19T00:00:00"/>
    <s v="Laptop"/>
    <s v="Electronics"/>
    <n v="83.89"/>
    <n v="3"/>
    <n v="0.26"/>
    <n v="0.2"/>
    <x v="1"/>
    <s v="CUST0268"/>
    <n v="251.67000000000002"/>
  </r>
  <r>
    <n v="1131"/>
    <d v="2024-12-08T00:00:00"/>
    <s v="Headphones"/>
    <s v="Accessories"/>
    <n v="541.54"/>
    <n v="5"/>
    <n v="0.27"/>
    <n v="0.17"/>
    <x v="2"/>
    <s v="CUST0004"/>
    <n v="2707.7"/>
  </r>
  <r>
    <n v="1132"/>
    <d v="2024-06-09T00:00:00"/>
    <s v="Headphones"/>
    <s v="Accessories"/>
    <n v="1155.73"/>
    <n v="3"/>
    <n v="0.26"/>
    <n v="0.27"/>
    <x v="3"/>
    <s v="CUST0035"/>
    <n v="3467.19"/>
  </r>
  <r>
    <n v="1133"/>
    <d v="2024-08-16T00:00:00"/>
    <s v="Headphones"/>
    <s v="Accessories"/>
    <n v="911.17"/>
    <n v="1"/>
    <n v="0.09"/>
    <n v="0.28999999999999998"/>
    <x v="1"/>
    <s v="CUST0007"/>
    <n v="911.17"/>
  </r>
  <r>
    <n v="1134"/>
    <d v="2024-11-16T00:00:00"/>
    <s v="Headphones"/>
    <s v="Accessories"/>
    <n v="452.81"/>
    <n v="2"/>
    <n v="0.23"/>
    <n v="0.18"/>
    <x v="2"/>
    <s v="CUST0095"/>
    <n v="905.62"/>
  </r>
  <r>
    <n v="1135"/>
    <d v="2024-02-26T00:00:00"/>
    <s v="Headphones"/>
    <s v="Accessories"/>
    <n v="166.07"/>
    <n v="2"/>
    <n v="0.02"/>
    <n v="0.25"/>
    <x v="2"/>
    <s v="CUST0118"/>
    <n v="332.14"/>
  </r>
  <r>
    <n v="1136"/>
    <d v="2024-10-11T00:00:00"/>
    <s v="Headphones"/>
    <s v="Accessories"/>
    <n v="832.3"/>
    <n v="2"/>
    <n v="0.16"/>
    <n v="0.17"/>
    <x v="3"/>
    <s v="CUST0055"/>
    <n v="1664.6"/>
  </r>
  <r>
    <n v="1137"/>
    <d v="2024-04-17T00:00:00"/>
    <s v="Headphones"/>
    <s v="Accessories"/>
    <n v="349.97"/>
    <n v="3"/>
    <n v="0.03"/>
    <n v="0.33"/>
    <x v="3"/>
    <s v="CUST0056"/>
    <n v="1049.9100000000001"/>
  </r>
  <r>
    <n v="1138"/>
    <d v="2024-05-06T00:00:00"/>
    <s v="Mouse"/>
    <s v="Accessories"/>
    <n v="1446.44"/>
    <n v="5"/>
    <n v="0.26"/>
    <n v="0.31"/>
    <x v="2"/>
    <s v="CUST0277"/>
    <n v="7232.2000000000007"/>
  </r>
  <r>
    <n v="1139"/>
    <d v="2024-05-30T00:00:00"/>
    <s v="Laptop"/>
    <s v="Electronics"/>
    <n v="1032.5899999999999"/>
    <n v="2"/>
    <n v="0.26"/>
    <n v="0.2"/>
    <x v="2"/>
    <s v="CUST0147"/>
    <n v="2065.1799999999998"/>
  </r>
  <r>
    <n v="1140"/>
    <d v="2024-01-05T00:00:00"/>
    <s v="Keyboard"/>
    <s v="Accessories"/>
    <n v="883.04"/>
    <n v="4"/>
    <n v="0.24"/>
    <n v="0.15"/>
    <x v="1"/>
    <s v="CUST0080"/>
    <n v="3532.16"/>
  </r>
  <r>
    <n v="1141"/>
    <d v="2024-06-26T00:00:00"/>
    <s v="Mouse"/>
    <s v="Accessories"/>
    <n v="308.13"/>
    <n v="4"/>
    <n v="0.19"/>
    <n v="0.14000000000000001"/>
    <x v="0"/>
    <s v="CUST0116"/>
    <n v="1232.52"/>
  </r>
  <r>
    <n v="1142"/>
    <d v="2024-08-27T00:00:00"/>
    <s v="Mouse"/>
    <s v="Accessories"/>
    <n v="1271.33"/>
    <n v="4"/>
    <n v="0.2"/>
    <n v="0.19"/>
    <x v="1"/>
    <s v="CUST0037"/>
    <n v="5085.32"/>
  </r>
  <r>
    <n v="1143"/>
    <d v="2024-05-30T00:00:00"/>
    <s v="Tablet"/>
    <s v="Electronics"/>
    <n v="253.41"/>
    <n v="1"/>
    <n v="0.06"/>
    <n v="0.31"/>
    <x v="1"/>
    <s v="CUST0220"/>
    <n v="253.41"/>
  </r>
  <r>
    <n v="1144"/>
    <d v="2024-05-30T00:00:00"/>
    <s v="Laptop"/>
    <s v="Electronics"/>
    <n v="506.1"/>
    <n v="5"/>
    <n v="0.04"/>
    <n v="0.4"/>
    <x v="3"/>
    <s v="CUST0119"/>
    <n v="2530.5"/>
  </r>
  <r>
    <n v="1145"/>
    <d v="2024-06-07T00:00:00"/>
    <s v="Headphones"/>
    <s v="Accessories"/>
    <n v="1429.34"/>
    <n v="5"/>
    <n v="0.3"/>
    <n v="0.35"/>
    <x v="2"/>
    <s v="CUST0293"/>
    <n v="7146.7"/>
  </r>
  <r>
    <n v="1146"/>
    <d v="2024-09-12T00:00:00"/>
    <s v="Monitor"/>
    <s v="Electronics"/>
    <n v="55.99"/>
    <n v="1"/>
    <n v="0"/>
    <n v="0.21"/>
    <x v="2"/>
    <s v="CUST0152"/>
    <n v="55.99"/>
  </r>
  <r>
    <n v="1147"/>
    <d v="2024-08-31T00:00:00"/>
    <s v="Headphones"/>
    <s v="Accessories"/>
    <n v="1330.73"/>
    <n v="4"/>
    <n v="0.15"/>
    <n v="0.22"/>
    <x v="1"/>
    <s v="CUST0272"/>
    <n v="5322.92"/>
  </r>
  <r>
    <n v="1148"/>
    <d v="2024-11-28T00:00:00"/>
    <s v="Monitor"/>
    <s v="Electronics"/>
    <n v="597.26"/>
    <n v="3"/>
    <n v="0.04"/>
    <n v="0.38"/>
    <x v="0"/>
    <s v="CUST0144"/>
    <n v="1791.78"/>
  </r>
  <r>
    <n v="1149"/>
    <d v="2024-02-11T00:00:00"/>
    <s v="Monitor"/>
    <s v="Electronics"/>
    <n v="681.78"/>
    <n v="5"/>
    <n v="0.2"/>
    <n v="0.21"/>
    <x v="2"/>
    <s v="CUST0219"/>
    <n v="3408.8999999999996"/>
  </r>
  <r>
    <n v="1150"/>
    <d v="2024-07-18T00:00:00"/>
    <s v="Mouse"/>
    <s v="Accessories"/>
    <n v="657.25"/>
    <n v="5"/>
    <n v="0.1"/>
    <n v="0.31"/>
    <x v="0"/>
    <s v="CUST0072"/>
    <n v="3286.25"/>
  </r>
  <r>
    <n v="1151"/>
    <d v="2024-06-14T00:00:00"/>
    <s v="Keyboard"/>
    <s v="Accessories"/>
    <n v="1387.41"/>
    <n v="3"/>
    <n v="0.06"/>
    <n v="0.34"/>
    <x v="1"/>
    <s v="CUST0224"/>
    <n v="4162.2300000000005"/>
  </r>
  <r>
    <n v="1152"/>
    <d v="2024-01-04T00:00:00"/>
    <s v="Mouse"/>
    <s v="Accessories"/>
    <n v="482.7"/>
    <n v="5"/>
    <n v="0.12"/>
    <n v="0.18"/>
    <x v="2"/>
    <s v="CUST0299"/>
    <n v="2413.5"/>
  </r>
  <r>
    <n v="1153"/>
    <d v="2024-04-10T00:00:00"/>
    <s v="Monitor"/>
    <s v="Electronics"/>
    <n v="1379.82"/>
    <n v="4"/>
    <n v="0.28999999999999998"/>
    <n v="0.21"/>
    <x v="3"/>
    <s v="CUST0033"/>
    <n v="5519.28"/>
  </r>
  <r>
    <n v="1154"/>
    <d v="2024-03-03T00:00:00"/>
    <s v="Mouse"/>
    <s v="Accessories"/>
    <n v="665.93"/>
    <n v="5"/>
    <n v="0.26"/>
    <n v="0.32"/>
    <x v="1"/>
    <s v="CUST0173"/>
    <n v="3329.6499999999996"/>
  </r>
  <r>
    <n v="1155"/>
    <d v="2024-09-11T00:00:00"/>
    <s v="Laptop"/>
    <s v="Electronics"/>
    <n v="989.04"/>
    <n v="2"/>
    <n v="0.23"/>
    <n v="0.22"/>
    <x v="3"/>
    <s v="CUST0197"/>
    <n v="1978.08"/>
  </r>
  <r>
    <n v="1156"/>
    <d v="2024-03-09T00:00:00"/>
    <s v="Tablet"/>
    <s v="Electronics"/>
    <n v="680.75"/>
    <n v="4"/>
    <n v="7.0000000000000007E-2"/>
    <n v="0.12"/>
    <x v="0"/>
    <s v="CUST0078"/>
    <n v="2723"/>
  </r>
  <r>
    <n v="1157"/>
    <d v="2024-09-07T00:00:00"/>
    <s v="Keyboard"/>
    <s v="Accessories"/>
    <n v="451.63"/>
    <n v="1"/>
    <n v="0.05"/>
    <n v="0.21"/>
    <x v="0"/>
    <s v="CUST0016"/>
    <n v="451.63"/>
  </r>
  <r>
    <n v="1158"/>
    <d v="2024-03-30T00:00:00"/>
    <s v="Laptop"/>
    <s v="Electronics"/>
    <n v="109.65"/>
    <n v="3"/>
    <n v="0.17"/>
    <n v="0.3"/>
    <x v="2"/>
    <s v="CUST0239"/>
    <n v="328.95000000000005"/>
  </r>
  <r>
    <n v="1159"/>
    <d v="2024-07-17T00:00:00"/>
    <s v="Laptop"/>
    <s v="Electronics"/>
    <n v="906.77"/>
    <n v="4"/>
    <n v="0.21"/>
    <n v="0.22"/>
    <x v="1"/>
    <s v="CUST0081"/>
    <n v="3627.08"/>
  </r>
  <r>
    <n v="1160"/>
    <d v="2024-08-26T00:00:00"/>
    <s v="Keyboard"/>
    <s v="Accessories"/>
    <n v="403.21"/>
    <n v="1"/>
    <n v="0.21"/>
    <n v="0.3"/>
    <x v="0"/>
    <s v="CUST0068"/>
    <n v="403.21"/>
  </r>
  <r>
    <n v="1161"/>
    <d v="2024-06-25T00:00:00"/>
    <s v="Tablet"/>
    <s v="Electronics"/>
    <n v="568.16999999999996"/>
    <n v="3"/>
    <n v="0.15"/>
    <n v="0.36"/>
    <x v="0"/>
    <s v="CUST0065"/>
    <n v="1704.5099999999998"/>
  </r>
  <r>
    <n v="1162"/>
    <d v="2024-07-13T00:00:00"/>
    <s v="Laptop"/>
    <s v="Electronics"/>
    <n v="1082.96"/>
    <n v="1"/>
    <n v="0.24"/>
    <n v="0.36"/>
    <x v="2"/>
    <s v="CUST0029"/>
    <n v="1082.96"/>
  </r>
  <r>
    <n v="1163"/>
    <d v="2024-10-31T00:00:00"/>
    <s v="Mouse"/>
    <s v="Accessories"/>
    <n v="1053.32"/>
    <n v="2"/>
    <n v="0.26"/>
    <n v="0.24"/>
    <x v="1"/>
    <s v="CUST0034"/>
    <n v="2106.64"/>
  </r>
  <r>
    <n v="1164"/>
    <d v="2024-07-04T00:00:00"/>
    <s v="Keyboard"/>
    <s v="Accessories"/>
    <n v="188.95"/>
    <n v="5"/>
    <n v="0.13"/>
    <n v="0.36"/>
    <x v="0"/>
    <s v="CUST0063"/>
    <n v="944.75"/>
  </r>
  <r>
    <n v="1165"/>
    <d v="2024-01-16T00:00:00"/>
    <s v="Headphones"/>
    <s v="Accessories"/>
    <n v="1244.04"/>
    <n v="5"/>
    <n v="0.02"/>
    <n v="0.35"/>
    <x v="3"/>
    <s v="CUST0171"/>
    <n v="6220.2"/>
  </r>
  <r>
    <n v="1166"/>
    <d v="2024-02-14T00:00:00"/>
    <s v="Headphones"/>
    <s v="Accessories"/>
    <n v="781.11"/>
    <n v="1"/>
    <n v="0.14000000000000001"/>
    <n v="0.36"/>
    <x v="1"/>
    <s v="CUST0074"/>
    <n v="781.11"/>
  </r>
  <r>
    <n v="1167"/>
    <d v="2024-12-30T00:00:00"/>
    <s v="Keyboard"/>
    <s v="Accessories"/>
    <n v="309.2"/>
    <n v="4"/>
    <n v="0.09"/>
    <n v="0.33"/>
    <x v="3"/>
    <s v="CUST0062"/>
    <n v="1236.8"/>
  </r>
  <r>
    <n v="1168"/>
    <d v="2024-02-03T00:00:00"/>
    <s v="Laptop"/>
    <s v="Electronics"/>
    <n v="322.07"/>
    <n v="1"/>
    <n v="0.05"/>
    <n v="0.2"/>
    <x v="1"/>
    <s v="CUST0196"/>
    <n v="322.07"/>
  </r>
  <r>
    <n v="1169"/>
    <d v="2024-08-18T00:00:00"/>
    <s v="Keyboard"/>
    <s v="Accessories"/>
    <n v="1235.3"/>
    <n v="2"/>
    <n v="0.14000000000000001"/>
    <n v="0.2"/>
    <x v="2"/>
    <s v="CUST0196"/>
    <n v="2470.6"/>
  </r>
  <r>
    <n v="1170"/>
    <d v="2024-05-07T00:00:00"/>
    <s v="Laptop"/>
    <s v="Electronics"/>
    <n v="1339.43"/>
    <n v="2"/>
    <n v="0.08"/>
    <n v="0.21"/>
    <x v="0"/>
    <s v="CUST0275"/>
    <n v="2678.86"/>
  </r>
  <r>
    <n v="1171"/>
    <d v="2024-03-25T00:00:00"/>
    <s v="Tablet"/>
    <s v="Electronics"/>
    <n v="99.01"/>
    <n v="1"/>
    <n v="0.22"/>
    <n v="0.18"/>
    <x v="0"/>
    <s v="CUST0254"/>
    <n v="99.01"/>
  </r>
  <r>
    <n v="1172"/>
    <d v="2024-07-03T00:00:00"/>
    <s v="Monitor"/>
    <s v="Electronics"/>
    <n v="1154.6600000000001"/>
    <n v="1"/>
    <n v="0.01"/>
    <n v="0.33"/>
    <x v="2"/>
    <s v="CUST0232"/>
    <n v="1154.6600000000001"/>
  </r>
  <r>
    <n v="1173"/>
    <d v="2024-03-03T00:00:00"/>
    <s v="Laptop"/>
    <s v="Electronics"/>
    <n v="303.47000000000003"/>
    <n v="4"/>
    <n v="0.18"/>
    <n v="0.23"/>
    <x v="3"/>
    <s v="CUST0143"/>
    <n v="1213.8800000000001"/>
  </r>
  <r>
    <n v="1174"/>
    <d v="2024-04-06T00:00:00"/>
    <s v="Mouse"/>
    <s v="Accessories"/>
    <n v="453.13"/>
    <n v="2"/>
    <n v="0"/>
    <n v="0.33"/>
    <x v="1"/>
    <s v="CUST0200"/>
    <n v="906.26"/>
  </r>
  <r>
    <n v="1175"/>
    <d v="2024-09-22T00:00:00"/>
    <s v="Tablet"/>
    <s v="Electronics"/>
    <n v="863.44"/>
    <n v="3"/>
    <n v="0.16"/>
    <n v="0.24"/>
    <x v="3"/>
    <s v="CUST0182"/>
    <n v="2590.3200000000002"/>
  </r>
  <r>
    <n v="1176"/>
    <d v="2024-01-21T00:00:00"/>
    <s v="Keyboard"/>
    <s v="Accessories"/>
    <n v="776.74"/>
    <n v="1"/>
    <n v="0.27"/>
    <n v="0.2"/>
    <x v="2"/>
    <s v="CUST0013"/>
    <n v="776.74"/>
  </r>
  <r>
    <n v="1177"/>
    <d v="2024-06-04T00:00:00"/>
    <s v="Monitor"/>
    <s v="Electronics"/>
    <n v="1419.42"/>
    <n v="4"/>
    <n v="0.14000000000000001"/>
    <n v="0.18"/>
    <x v="2"/>
    <s v="CUST0032"/>
    <n v="5677.68"/>
  </r>
  <r>
    <n v="1178"/>
    <d v="2024-04-02T00:00:00"/>
    <s v="Laptop"/>
    <s v="Electronics"/>
    <n v="412.51"/>
    <n v="5"/>
    <n v="0.17"/>
    <n v="0.18"/>
    <x v="1"/>
    <s v="CUST0006"/>
    <n v="2062.5500000000002"/>
  </r>
  <r>
    <n v="1179"/>
    <d v="2024-10-03T00:00:00"/>
    <s v="Laptop"/>
    <s v="Electronics"/>
    <n v="1239.8800000000001"/>
    <n v="1"/>
    <n v="0.3"/>
    <n v="0.12"/>
    <x v="3"/>
    <s v="CUST0134"/>
    <n v="1239.8800000000001"/>
  </r>
  <r>
    <n v="1180"/>
    <d v="2024-02-24T00:00:00"/>
    <s v="Laptop"/>
    <s v="Electronics"/>
    <n v="603.59"/>
    <n v="3"/>
    <n v="0.22"/>
    <n v="0.21"/>
    <x v="3"/>
    <s v="CUST0214"/>
    <n v="1810.77"/>
  </r>
  <r>
    <n v="1181"/>
    <d v="2024-07-16T00:00:00"/>
    <s v="Keyboard"/>
    <s v="Accessories"/>
    <n v="134.63999999999999"/>
    <n v="4"/>
    <n v="0.03"/>
    <n v="0.19"/>
    <x v="1"/>
    <s v="CUST0159"/>
    <n v="538.55999999999995"/>
  </r>
  <r>
    <n v="1182"/>
    <d v="2024-11-17T00:00:00"/>
    <s v="Tablet"/>
    <s v="Electronics"/>
    <n v="518.95000000000005"/>
    <n v="5"/>
    <n v="0.1"/>
    <n v="0.34"/>
    <x v="0"/>
    <s v="CUST0083"/>
    <n v="2594.75"/>
  </r>
  <r>
    <n v="1183"/>
    <d v="2024-01-17T00:00:00"/>
    <s v="Headphones"/>
    <s v="Accessories"/>
    <n v="1408.02"/>
    <n v="2"/>
    <n v="0.28999999999999998"/>
    <n v="0.26"/>
    <x v="2"/>
    <s v="CUST0045"/>
    <n v="2816.04"/>
  </r>
  <r>
    <n v="1184"/>
    <d v="2024-01-17T00:00:00"/>
    <s v="Laptop"/>
    <s v="Electronics"/>
    <n v="60.46"/>
    <n v="2"/>
    <n v="0.13"/>
    <n v="0.31"/>
    <x v="0"/>
    <s v="CUST0078"/>
    <n v="120.92"/>
  </r>
  <r>
    <n v="1185"/>
    <d v="2024-03-21T00:00:00"/>
    <s v="Tablet"/>
    <s v="Electronics"/>
    <n v="339.38"/>
    <n v="2"/>
    <n v="0.09"/>
    <n v="0.26"/>
    <x v="3"/>
    <s v="CUST0089"/>
    <n v="678.76"/>
  </r>
  <r>
    <n v="1186"/>
    <d v="2024-06-06T00:00:00"/>
    <s v="Mouse"/>
    <s v="Accessories"/>
    <n v="1326.86"/>
    <n v="5"/>
    <n v="0.02"/>
    <n v="0.14000000000000001"/>
    <x v="1"/>
    <s v="CUST0069"/>
    <n v="6634.2999999999993"/>
  </r>
  <r>
    <n v="1187"/>
    <d v="2024-01-14T00:00:00"/>
    <s v="Monitor"/>
    <s v="Electronics"/>
    <n v="760.04"/>
    <n v="5"/>
    <n v="7.0000000000000007E-2"/>
    <n v="0.26"/>
    <x v="3"/>
    <s v="CUST0287"/>
    <n v="3800.2"/>
  </r>
  <r>
    <n v="1188"/>
    <d v="2024-01-17T00:00:00"/>
    <s v="Tablet"/>
    <s v="Electronics"/>
    <n v="460.75"/>
    <n v="2"/>
    <n v="0.3"/>
    <n v="0.28000000000000003"/>
    <x v="0"/>
    <s v="CUST0139"/>
    <n v="921.5"/>
  </r>
  <r>
    <n v="1189"/>
    <d v="2024-11-30T00:00:00"/>
    <s v="Mouse"/>
    <s v="Accessories"/>
    <n v="1281.47"/>
    <n v="3"/>
    <n v="0.05"/>
    <n v="0.22"/>
    <x v="1"/>
    <s v="CUST0114"/>
    <n v="3844.41"/>
  </r>
  <r>
    <n v="1190"/>
    <d v="2024-08-01T00:00:00"/>
    <s v="Laptop"/>
    <s v="Electronics"/>
    <n v="67.69"/>
    <n v="1"/>
    <n v="0.23"/>
    <n v="0.25"/>
    <x v="3"/>
    <s v="CUST0047"/>
    <n v="67.69"/>
  </r>
  <r>
    <n v="1191"/>
    <d v="2024-04-18T00:00:00"/>
    <s v="Mouse"/>
    <s v="Accessories"/>
    <n v="1200.05"/>
    <n v="5"/>
    <n v="0.24"/>
    <n v="0.17"/>
    <x v="1"/>
    <s v="CUST0151"/>
    <n v="6000.25"/>
  </r>
  <r>
    <n v="1192"/>
    <d v="2024-12-07T00:00:00"/>
    <s v="Keyboard"/>
    <s v="Accessories"/>
    <n v="769.14"/>
    <n v="3"/>
    <n v="0"/>
    <n v="0.28999999999999998"/>
    <x v="0"/>
    <s v="CUST0142"/>
    <n v="2307.42"/>
  </r>
  <r>
    <n v="1193"/>
    <d v="2024-03-22T00:00:00"/>
    <s v="Laptop"/>
    <s v="Electronics"/>
    <n v="682.14"/>
    <n v="3"/>
    <n v="0.21"/>
    <n v="0.3"/>
    <x v="3"/>
    <s v="CUST0248"/>
    <n v="2046.42"/>
  </r>
  <r>
    <n v="1194"/>
    <d v="2024-02-07T00:00:00"/>
    <s v="Laptop"/>
    <s v="Electronics"/>
    <n v="1305.27"/>
    <n v="2"/>
    <n v="0.11"/>
    <n v="0.13"/>
    <x v="3"/>
    <s v="CUST0224"/>
    <n v="2610.54"/>
  </r>
  <r>
    <n v="1195"/>
    <d v="2024-09-11T00:00:00"/>
    <s v="Laptop"/>
    <s v="Electronics"/>
    <n v="412.17"/>
    <n v="1"/>
    <n v="0.26"/>
    <n v="0.17"/>
    <x v="1"/>
    <s v="CUST0119"/>
    <n v="412.17"/>
  </r>
  <r>
    <n v="1196"/>
    <d v="2024-01-04T00:00:00"/>
    <s v="Monitor"/>
    <s v="Electronics"/>
    <n v="909.41"/>
    <n v="2"/>
    <n v="7.0000000000000007E-2"/>
    <n v="0.2"/>
    <x v="2"/>
    <s v="CUST0146"/>
    <n v="1818.82"/>
  </r>
  <r>
    <n v="1197"/>
    <d v="2024-07-24T00:00:00"/>
    <s v="Laptop"/>
    <s v="Electronics"/>
    <n v="1260.24"/>
    <n v="1"/>
    <n v="0.27"/>
    <n v="0.15"/>
    <x v="3"/>
    <s v="CUST0249"/>
    <n v="1260.24"/>
  </r>
  <r>
    <n v="1198"/>
    <d v="2024-03-28T00:00:00"/>
    <s v="Keyboard"/>
    <s v="Accessories"/>
    <n v="1039.46"/>
    <n v="4"/>
    <n v="7.0000000000000007E-2"/>
    <n v="0.13"/>
    <x v="0"/>
    <s v="CUST0146"/>
    <n v="4157.84"/>
  </r>
  <r>
    <n v="1199"/>
    <d v="2024-04-17T00:00:00"/>
    <s v="Mouse"/>
    <s v="Accessories"/>
    <n v="229.98"/>
    <n v="1"/>
    <n v="0.01"/>
    <n v="0.38"/>
    <x v="1"/>
    <s v="CUST0237"/>
    <n v="229.98"/>
  </r>
  <r>
    <n v="1200"/>
    <d v="2024-03-14T00:00:00"/>
    <s v="Laptop"/>
    <s v="Electronics"/>
    <n v="308.58"/>
    <n v="4"/>
    <n v="0.28999999999999998"/>
    <n v="0.22"/>
    <x v="0"/>
    <s v="CUST0237"/>
    <n v="1234.32"/>
  </r>
  <r>
    <n v="1201"/>
    <d v="2024-11-13T00:00:00"/>
    <s v="Monitor"/>
    <s v="Electronics"/>
    <n v="795.68"/>
    <n v="4"/>
    <n v="0.3"/>
    <n v="0.17"/>
    <x v="1"/>
    <s v="CUST0216"/>
    <n v="3182.72"/>
  </r>
  <r>
    <n v="1202"/>
    <d v="2024-04-28T00:00:00"/>
    <s v="Headphones"/>
    <s v="Accessories"/>
    <n v="28.99"/>
    <n v="3"/>
    <n v="0.18"/>
    <n v="0.13"/>
    <x v="2"/>
    <s v="CUST0105"/>
    <n v="86.97"/>
  </r>
  <r>
    <n v="1203"/>
    <d v="2024-02-13T00:00:00"/>
    <s v="Laptop"/>
    <s v="Electronics"/>
    <n v="36.46"/>
    <n v="2"/>
    <n v="0.18"/>
    <n v="0.32"/>
    <x v="2"/>
    <s v="CUST0136"/>
    <n v="72.92"/>
  </r>
  <r>
    <n v="1204"/>
    <d v="2024-01-03T00:00:00"/>
    <s v="Tablet"/>
    <s v="Electronics"/>
    <n v="1038.6099999999999"/>
    <n v="2"/>
    <n v="0.13"/>
    <n v="0.19"/>
    <x v="2"/>
    <s v="CUST0190"/>
    <n v="2077.2199999999998"/>
  </r>
  <r>
    <n v="1205"/>
    <d v="2024-04-02T00:00:00"/>
    <s v="Keyboard"/>
    <s v="Accessories"/>
    <n v="222.32"/>
    <n v="2"/>
    <n v="0.04"/>
    <n v="0.12"/>
    <x v="3"/>
    <s v="CUST0010"/>
    <n v="444.64"/>
  </r>
  <r>
    <n v="1206"/>
    <d v="2024-08-18T00:00:00"/>
    <s v="Tablet"/>
    <s v="Electronics"/>
    <n v="538.04"/>
    <n v="5"/>
    <n v="0.16"/>
    <n v="0.14000000000000001"/>
    <x v="1"/>
    <s v="CUST0275"/>
    <n v="2690.2"/>
  </r>
  <r>
    <n v="1207"/>
    <d v="2024-08-06T00:00:00"/>
    <s v="Keyboard"/>
    <s v="Accessories"/>
    <n v="1080.1600000000001"/>
    <n v="4"/>
    <n v="0.06"/>
    <n v="0.22"/>
    <x v="2"/>
    <s v="CUST0033"/>
    <n v="4320.6400000000003"/>
  </r>
  <r>
    <n v="1208"/>
    <d v="2024-09-15T00:00:00"/>
    <s v="Tablet"/>
    <s v="Electronics"/>
    <n v="775.97"/>
    <n v="5"/>
    <n v="0.12"/>
    <n v="0.39"/>
    <x v="0"/>
    <s v="CUST0283"/>
    <n v="3879.8500000000004"/>
  </r>
  <r>
    <n v="1209"/>
    <d v="2024-02-25T00:00:00"/>
    <s v="Laptop"/>
    <s v="Electronics"/>
    <n v="680.48"/>
    <n v="5"/>
    <n v="0.02"/>
    <n v="0.2"/>
    <x v="0"/>
    <s v="CUST0270"/>
    <n v="3402.4"/>
  </r>
  <r>
    <n v="1210"/>
    <d v="2024-06-03T00:00:00"/>
    <s v="Keyboard"/>
    <s v="Accessories"/>
    <n v="771.24"/>
    <n v="5"/>
    <n v="0.26"/>
    <n v="0.35"/>
    <x v="2"/>
    <s v="CUST0158"/>
    <n v="3856.2"/>
  </r>
  <r>
    <n v="1211"/>
    <d v="2024-09-14T00:00:00"/>
    <s v="Keyboard"/>
    <s v="Accessories"/>
    <n v="975.62"/>
    <n v="4"/>
    <n v="0.09"/>
    <n v="0.12"/>
    <x v="0"/>
    <s v="CUST0169"/>
    <n v="3902.48"/>
  </r>
  <r>
    <n v="1212"/>
    <d v="2024-01-22T00:00:00"/>
    <s v="Laptop"/>
    <s v="Electronics"/>
    <n v="39.5"/>
    <n v="4"/>
    <n v="7.0000000000000007E-2"/>
    <n v="0.15"/>
    <x v="3"/>
    <s v="CUST0242"/>
    <n v="158"/>
  </r>
  <r>
    <n v="1213"/>
    <d v="2024-08-03T00:00:00"/>
    <s v="Tablet"/>
    <s v="Electronics"/>
    <n v="473.54"/>
    <n v="3"/>
    <n v="0.09"/>
    <n v="0.23"/>
    <x v="2"/>
    <s v="CUST0070"/>
    <n v="1420.6200000000001"/>
  </r>
  <r>
    <n v="1214"/>
    <d v="2024-09-24T00:00:00"/>
    <s v="Headphones"/>
    <s v="Accessories"/>
    <n v="1366.87"/>
    <n v="5"/>
    <n v="7.0000000000000007E-2"/>
    <n v="0.3"/>
    <x v="0"/>
    <s v="CUST0062"/>
    <n v="6834.3499999999995"/>
  </r>
  <r>
    <n v="1215"/>
    <d v="2024-12-01T00:00:00"/>
    <s v="Laptop"/>
    <s v="Electronics"/>
    <n v="808.93"/>
    <n v="2"/>
    <n v="0.05"/>
    <n v="0.33"/>
    <x v="3"/>
    <s v="CUST0114"/>
    <n v="1617.86"/>
  </r>
  <r>
    <n v="1216"/>
    <d v="2024-01-11T00:00:00"/>
    <s v="Monitor"/>
    <s v="Electronics"/>
    <n v="864.71"/>
    <n v="3"/>
    <n v="0.14000000000000001"/>
    <n v="0.2"/>
    <x v="3"/>
    <s v="CUST0139"/>
    <n v="2594.13"/>
  </r>
  <r>
    <n v="1217"/>
    <d v="2024-06-10T00:00:00"/>
    <s v="Mouse"/>
    <s v="Accessories"/>
    <n v="1090.27"/>
    <n v="5"/>
    <n v="0.17"/>
    <n v="0.28999999999999998"/>
    <x v="3"/>
    <s v="CUST0005"/>
    <n v="5451.35"/>
  </r>
  <r>
    <n v="1218"/>
    <d v="2024-03-10T00:00:00"/>
    <s v="Laptop"/>
    <s v="Electronics"/>
    <n v="680.83"/>
    <n v="3"/>
    <n v="0.13"/>
    <n v="0.19"/>
    <x v="0"/>
    <s v="CUST0086"/>
    <n v="2042.4900000000002"/>
  </r>
  <r>
    <n v="1219"/>
    <d v="2024-07-17T00:00:00"/>
    <s v="Headphones"/>
    <s v="Accessories"/>
    <n v="293.10000000000002"/>
    <n v="4"/>
    <n v="0.1"/>
    <n v="0.18"/>
    <x v="3"/>
    <s v="CUST0114"/>
    <n v="1172.4000000000001"/>
  </r>
  <r>
    <n v="1220"/>
    <d v="2024-03-31T00:00:00"/>
    <s v="Laptop"/>
    <s v="Electronics"/>
    <n v="464.48"/>
    <n v="5"/>
    <n v="0.26"/>
    <n v="0.31"/>
    <x v="2"/>
    <s v="CUST0247"/>
    <n v="2322.4"/>
  </r>
  <r>
    <n v="1221"/>
    <d v="2024-11-30T00:00:00"/>
    <s v="Laptop"/>
    <s v="Electronics"/>
    <n v="941.13"/>
    <n v="2"/>
    <n v="0.27"/>
    <n v="0.28999999999999998"/>
    <x v="2"/>
    <s v="CUST0252"/>
    <n v="1882.26"/>
  </r>
  <r>
    <n v="1222"/>
    <d v="2024-10-15T00:00:00"/>
    <s v="Keyboard"/>
    <s v="Accessories"/>
    <n v="974.76"/>
    <n v="5"/>
    <n v="0.15"/>
    <n v="0.33"/>
    <x v="1"/>
    <s v="CUST0152"/>
    <n v="4873.8"/>
  </r>
  <r>
    <n v="1223"/>
    <d v="2024-10-19T00:00:00"/>
    <s v="Mouse"/>
    <s v="Accessories"/>
    <n v="701.09"/>
    <n v="5"/>
    <n v="0.01"/>
    <n v="0.28999999999999998"/>
    <x v="3"/>
    <s v="CUST0008"/>
    <n v="3505.4500000000003"/>
  </r>
  <r>
    <n v="1224"/>
    <d v="2024-10-26T00:00:00"/>
    <s v="Keyboard"/>
    <s v="Accessories"/>
    <n v="666.65"/>
    <n v="2"/>
    <n v="0.08"/>
    <n v="0.23"/>
    <x v="1"/>
    <s v="CUST0056"/>
    <n v="1333.3"/>
  </r>
  <r>
    <n v="1225"/>
    <d v="2024-04-07T00:00:00"/>
    <s v="Headphones"/>
    <s v="Accessories"/>
    <n v="1197.6400000000001"/>
    <n v="1"/>
    <n v="0.03"/>
    <n v="0.28000000000000003"/>
    <x v="0"/>
    <s v="CUST0007"/>
    <n v="1197.6400000000001"/>
  </r>
  <r>
    <n v="1226"/>
    <d v="2024-04-01T00:00:00"/>
    <s v="Mouse"/>
    <s v="Accessories"/>
    <n v="1318.76"/>
    <n v="5"/>
    <n v="0.14000000000000001"/>
    <n v="0.13"/>
    <x v="3"/>
    <s v="CUST0234"/>
    <n v="6593.8"/>
  </r>
  <r>
    <n v="1227"/>
    <d v="2024-12-15T00:00:00"/>
    <s v="Mouse"/>
    <s v="Accessories"/>
    <n v="1305.3"/>
    <n v="5"/>
    <n v="0.22"/>
    <n v="0.28999999999999998"/>
    <x v="3"/>
    <s v="CUST0221"/>
    <n v="6526.5"/>
  </r>
  <r>
    <n v="1228"/>
    <d v="2024-02-16T00:00:00"/>
    <s v="Tablet"/>
    <s v="Electronics"/>
    <n v="190.79"/>
    <n v="3"/>
    <n v="7.0000000000000007E-2"/>
    <n v="0.23"/>
    <x v="0"/>
    <s v="CUST0122"/>
    <n v="572.37"/>
  </r>
  <r>
    <n v="1229"/>
    <d v="2024-08-11T00:00:00"/>
    <s v="Mouse"/>
    <s v="Accessories"/>
    <n v="408.57"/>
    <n v="5"/>
    <n v="0.28000000000000003"/>
    <n v="0.28000000000000003"/>
    <x v="2"/>
    <s v="CUST0034"/>
    <n v="2042.85"/>
  </r>
  <r>
    <n v="1230"/>
    <d v="2024-05-04T00:00:00"/>
    <s v="Mouse"/>
    <s v="Accessories"/>
    <n v="1072.77"/>
    <n v="3"/>
    <n v="0.22"/>
    <n v="0.18"/>
    <x v="2"/>
    <s v="CUST0017"/>
    <n v="3218.31"/>
  </r>
  <r>
    <n v="1231"/>
    <d v="2024-01-29T00:00:00"/>
    <s v="Keyboard"/>
    <s v="Accessories"/>
    <n v="276.64"/>
    <n v="4"/>
    <n v="0.14000000000000001"/>
    <n v="0.34"/>
    <x v="1"/>
    <s v="CUST0280"/>
    <n v="1106.56"/>
  </r>
  <r>
    <n v="1232"/>
    <d v="2024-01-21T00:00:00"/>
    <s v="Mouse"/>
    <s v="Accessories"/>
    <n v="1397.74"/>
    <n v="1"/>
    <n v="0.3"/>
    <n v="0.12"/>
    <x v="0"/>
    <s v="CUST0210"/>
    <n v="1397.74"/>
  </r>
  <r>
    <n v="1233"/>
    <d v="2024-12-03T00:00:00"/>
    <s v="Laptop"/>
    <s v="Electronics"/>
    <n v="626.65"/>
    <n v="2"/>
    <n v="0.02"/>
    <n v="0.35"/>
    <x v="0"/>
    <s v="CUST0083"/>
    <n v="1253.3"/>
  </r>
  <r>
    <n v="1234"/>
    <d v="2024-10-07T00:00:00"/>
    <s v="Tablet"/>
    <s v="Electronics"/>
    <n v="1322"/>
    <n v="3"/>
    <n v="0.16"/>
    <n v="0.18"/>
    <x v="0"/>
    <s v="CUST0053"/>
    <n v="3966"/>
  </r>
  <r>
    <n v="1235"/>
    <d v="2024-07-28T00:00:00"/>
    <s v="Monitor"/>
    <s v="Electronics"/>
    <n v="1133.9000000000001"/>
    <n v="4"/>
    <n v="0.01"/>
    <n v="0.21"/>
    <x v="1"/>
    <s v="CUST0071"/>
    <n v="4535.6000000000004"/>
  </r>
  <r>
    <n v="1236"/>
    <d v="2024-09-14T00:00:00"/>
    <s v="Keyboard"/>
    <s v="Accessories"/>
    <n v="119.75"/>
    <n v="5"/>
    <n v="0.14000000000000001"/>
    <n v="0.12"/>
    <x v="1"/>
    <s v="CUST0001"/>
    <n v="598.75"/>
  </r>
  <r>
    <n v="1237"/>
    <d v="2024-06-12T00:00:00"/>
    <s v="Laptop"/>
    <s v="Electronics"/>
    <n v="708.84"/>
    <n v="5"/>
    <n v="0.28000000000000003"/>
    <n v="0.18"/>
    <x v="3"/>
    <s v="CUST0085"/>
    <n v="3544.2000000000003"/>
  </r>
  <r>
    <n v="1238"/>
    <d v="2024-08-05T00:00:00"/>
    <s v="Mouse"/>
    <s v="Accessories"/>
    <n v="799.84"/>
    <n v="1"/>
    <n v="0.1"/>
    <n v="0.37"/>
    <x v="1"/>
    <s v="CUST0242"/>
    <n v="799.84"/>
  </r>
  <r>
    <n v="1239"/>
    <d v="2024-01-26T00:00:00"/>
    <s v="Headphones"/>
    <s v="Accessories"/>
    <n v="1031.7"/>
    <n v="5"/>
    <n v="0.21"/>
    <n v="0.19"/>
    <x v="2"/>
    <s v="CUST0169"/>
    <n v="5158.5"/>
  </r>
  <r>
    <n v="1240"/>
    <d v="2024-09-15T00:00:00"/>
    <s v="Laptop"/>
    <s v="Electronics"/>
    <n v="490.61"/>
    <n v="3"/>
    <n v="0.03"/>
    <n v="0.1"/>
    <x v="3"/>
    <s v="CUST0224"/>
    <n v="1471.83"/>
  </r>
  <r>
    <n v="1241"/>
    <d v="2024-05-28T00:00:00"/>
    <s v="Laptop"/>
    <s v="Electronics"/>
    <n v="1307.8"/>
    <n v="5"/>
    <n v="0.13"/>
    <n v="0.24"/>
    <x v="2"/>
    <s v="CUST0152"/>
    <n v="6539"/>
  </r>
  <r>
    <n v="1242"/>
    <d v="2024-12-23T00:00:00"/>
    <s v="Tablet"/>
    <s v="Electronics"/>
    <n v="1307.29"/>
    <n v="3"/>
    <n v="0.25"/>
    <n v="0.17"/>
    <x v="0"/>
    <s v="CUST0097"/>
    <n v="3921.87"/>
  </r>
  <r>
    <n v="1243"/>
    <d v="2024-07-17T00:00:00"/>
    <s v="Monitor"/>
    <s v="Electronics"/>
    <n v="1262.29"/>
    <n v="3"/>
    <n v="0.11"/>
    <n v="0.23"/>
    <x v="0"/>
    <s v="CUST0044"/>
    <n v="3786.87"/>
  </r>
  <r>
    <n v="1244"/>
    <d v="2024-12-06T00:00:00"/>
    <s v="Keyboard"/>
    <s v="Accessories"/>
    <n v="308.93"/>
    <n v="5"/>
    <n v="0.08"/>
    <n v="0.28999999999999998"/>
    <x v="2"/>
    <s v="CUST0297"/>
    <n v="1544.65"/>
  </r>
  <r>
    <n v="1245"/>
    <d v="2024-09-05T00:00:00"/>
    <s v="Tablet"/>
    <s v="Electronics"/>
    <n v="1146.05"/>
    <n v="4"/>
    <n v="0.15"/>
    <n v="0.28000000000000003"/>
    <x v="2"/>
    <s v="CUST0009"/>
    <n v="4584.2"/>
  </r>
  <r>
    <n v="1246"/>
    <d v="2024-10-11T00:00:00"/>
    <s v="Monitor"/>
    <s v="Electronics"/>
    <n v="802.4"/>
    <n v="1"/>
    <n v="0.03"/>
    <n v="0.33"/>
    <x v="2"/>
    <s v="CUST0029"/>
    <n v="802.4"/>
  </r>
  <r>
    <n v="1247"/>
    <d v="2024-12-07T00:00:00"/>
    <s v="Laptop"/>
    <s v="Electronics"/>
    <n v="1097.99"/>
    <n v="4"/>
    <n v="0.06"/>
    <n v="0.16"/>
    <x v="0"/>
    <s v="CUST0177"/>
    <n v="4391.96"/>
  </r>
  <r>
    <n v="1248"/>
    <d v="2024-06-14T00:00:00"/>
    <s v="Mouse"/>
    <s v="Accessories"/>
    <n v="1423"/>
    <n v="1"/>
    <n v="0.25"/>
    <n v="0.11"/>
    <x v="1"/>
    <s v="CUST0208"/>
    <n v="1423"/>
  </r>
  <r>
    <n v="1249"/>
    <d v="2024-03-31T00:00:00"/>
    <s v="Headphones"/>
    <s v="Accessories"/>
    <n v="324.20999999999998"/>
    <n v="5"/>
    <n v="0.1"/>
    <n v="0.2"/>
    <x v="3"/>
    <s v="CUST0008"/>
    <n v="1621.05"/>
  </r>
  <r>
    <n v="1250"/>
    <d v="2024-08-07T00:00:00"/>
    <s v="Laptop"/>
    <s v="Electronics"/>
    <n v="429.46"/>
    <n v="2"/>
    <n v="0.13"/>
    <n v="0.18"/>
    <x v="1"/>
    <s v="CUST0032"/>
    <n v="858.92"/>
  </r>
  <r>
    <n v="1251"/>
    <d v="2024-06-12T00:00:00"/>
    <s v="Tablet"/>
    <s v="Electronics"/>
    <n v="1080.54"/>
    <n v="5"/>
    <n v="0.2"/>
    <n v="0.16"/>
    <x v="3"/>
    <s v="CUST0215"/>
    <n v="5402.7"/>
  </r>
  <r>
    <n v="1252"/>
    <d v="2024-05-08T00:00:00"/>
    <s v="Monitor"/>
    <s v="Electronics"/>
    <n v="443.6"/>
    <n v="2"/>
    <n v="0.04"/>
    <n v="0.3"/>
    <x v="3"/>
    <s v="CUST0191"/>
    <n v="887.2"/>
  </r>
  <r>
    <n v="1253"/>
    <d v="2024-03-07T00:00:00"/>
    <s v="Monitor"/>
    <s v="Electronics"/>
    <n v="139.18"/>
    <n v="2"/>
    <n v="0.06"/>
    <n v="0.13"/>
    <x v="2"/>
    <s v="CUST0241"/>
    <n v="278.36"/>
  </r>
  <r>
    <n v="1254"/>
    <d v="2024-03-22T00:00:00"/>
    <s v="Keyboard"/>
    <s v="Accessories"/>
    <n v="913.33"/>
    <n v="2"/>
    <n v="0.19"/>
    <n v="0.33"/>
    <x v="0"/>
    <s v="CUST0288"/>
    <n v="1826.66"/>
  </r>
  <r>
    <n v="1255"/>
    <d v="2024-01-24T00:00:00"/>
    <s v="Mouse"/>
    <s v="Accessories"/>
    <n v="1255.83"/>
    <n v="4"/>
    <n v="0.2"/>
    <n v="0.25"/>
    <x v="1"/>
    <s v="CUST0273"/>
    <n v="5023.32"/>
  </r>
  <r>
    <n v="1256"/>
    <d v="2024-04-26T00:00:00"/>
    <s v="Keyboard"/>
    <s v="Accessories"/>
    <n v="447.05"/>
    <n v="1"/>
    <n v="0.01"/>
    <n v="0.23"/>
    <x v="3"/>
    <s v="CUST0265"/>
    <n v="447.05"/>
  </r>
  <r>
    <n v="1257"/>
    <d v="2024-11-26T00:00:00"/>
    <s v="Mouse"/>
    <s v="Accessories"/>
    <n v="74.3"/>
    <n v="1"/>
    <n v="0.05"/>
    <n v="0.31"/>
    <x v="0"/>
    <s v="CUST0138"/>
    <n v="74.3"/>
  </r>
  <r>
    <n v="1258"/>
    <d v="2024-01-24T00:00:00"/>
    <s v="Laptop"/>
    <s v="Electronics"/>
    <n v="346.15"/>
    <n v="4"/>
    <n v="0.01"/>
    <n v="0.25"/>
    <x v="3"/>
    <s v="CUST0256"/>
    <n v="1384.6"/>
  </r>
  <r>
    <n v="1259"/>
    <d v="2024-01-16T00:00:00"/>
    <s v="Mouse"/>
    <s v="Accessories"/>
    <n v="237.75"/>
    <n v="3"/>
    <n v="0.28999999999999998"/>
    <n v="0.17"/>
    <x v="0"/>
    <s v="CUST0094"/>
    <n v="713.25"/>
  </r>
  <r>
    <n v="1260"/>
    <d v="2024-09-05T00:00:00"/>
    <s v="Monitor"/>
    <s v="Electronics"/>
    <n v="1136.74"/>
    <n v="3"/>
    <n v="7.0000000000000007E-2"/>
    <n v="0.15"/>
    <x v="0"/>
    <s v="CUST0287"/>
    <n v="3410.2200000000003"/>
  </r>
  <r>
    <n v="1261"/>
    <d v="2024-10-25T00:00:00"/>
    <s v="Tablet"/>
    <s v="Electronics"/>
    <n v="542.4"/>
    <n v="1"/>
    <n v="0.23"/>
    <n v="0.19"/>
    <x v="3"/>
    <s v="CUST0189"/>
    <n v="542.4"/>
  </r>
  <r>
    <n v="1262"/>
    <d v="2024-04-12T00:00:00"/>
    <s v="Tablet"/>
    <s v="Electronics"/>
    <n v="1393.82"/>
    <n v="5"/>
    <n v="0.3"/>
    <n v="0.19"/>
    <x v="0"/>
    <s v="CUST0045"/>
    <n v="6969.0999999999995"/>
  </r>
  <r>
    <n v="1263"/>
    <d v="2024-09-15T00:00:00"/>
    <s v="Laptop"/>
    <s v="Electronics"/>
    <n v="1361.55"/>
    <n v="2"/>
    <n v="0.17"/>
    <n v="0.18"/>
    <x v="2"/>
    <s v="CUST0217"/>
    <n v="2723.1"/>
  </r>
  <r>
    <n v="1264"/>
    <d v="2024-03-19T00:00:00"/>
    <s v="Keyboard"/>
    <s v="Accessories"/>
    <n v="406.97"/>
    <n v="1"/>
    <n v="0.27"/>
    <n v="0.13"/>
    <x v="0"/>
    <s v="CUST0082"/>
    <n v="406.97"/>
  </r>
  <r>
    <n v="1265"/>
    <d v="2024-10-14T00:00:00"/>
    <s v="Headphones"/>
    <s v="Accessories"/>
    <n v="328.29"/>
    <n v="4"/>
    <n v="0.16"/>
    <n v="0.31"/>
    <x v="2"/>
    <s v="CUST0096"/>
    <n v="1313.16"/>
  </r>
  <r>
    <n v="1266"/>
    <d v="2024-10-12T00:00:00"/>
    <s v="Monitor"/>
    <s v="Electronics"/>
    <n v="1023.31"/>
    <n v="1"/>
    <n v="0.14000000000000001"/>
    <n v="0.12"/>
    <x v="0"/>
    <s v="CUST0043"/>
    <n v="1023.31"/>
  </r>
  <r>
    <n v="1267"/>
    <d v="2024-03-23T00:00:00"/>
    <s v="Keyboard"/>
    <s v="Accessories"/>
    <n v="162.19999999999999"/>
    <n v="1"/>
    <n v="0.17"/>
    <n v="0.25"/>
    <x v="3"/>
    <s v="CUST0227"/>
    <n v="162.19999999999999"/>
  </r>
  <r>
    <n v="1268"/>
    <d v="2024-12-22T00:00:00"/>
    <s v="Monitor"/>
    <s v="Electronics"/>
    <n v="1198.48"/>
    <n v="3"/>
    <n v="0.04"/>
    <n v="0.28999999999999998"/>
    <x v="2"/>
    <s v="CUST0162"/>
    <n v="3595.44"/>
  </r>
  <r>
    <n v="1269"/>
    <d v="2024-06-17T00:00:00"/>
    <s v="Headphones"/>
    <s v="Accessories"/>
    <n v="168.97"/>
    <n v="4"/>
    <n v="0.03"/>
    <n v="0.17"/>
    <x v="2"/>
    <s v="CUST0126"/>
    <n v="675.88"/>
  </r>
  <r>
    <n v="1270"/>
    <d v="2024-04-12T00:00:00"/>
    <s v="Headphones"/>
    <s v="Accessories"/>
    <n v="564.70000000000005"/>
    <n v="2"/>
    <n v="0.2"/>
    <n v="0.3"/>
    <x v="0"/>
    <s v="CUST0196"/>
    <n v="1129.4000000000001"/>
  </r>
  <r>
    <n v="1271"/>
    <d v="2024-12-01T00:00:00"/>
    <s v="Mouse"/>
    <s v="Accessories"/>
    <n v="51.06"/>
    <n v="5"/>
    <n v="0.01"/>
    <n v="0.24"/>
    <x v="1"/>
    <s v="CUST0065"/>
    <n v="255.3"/>
  </r>
  <r>
    <n v="1272"/>
    <d v="2024-04-10T00:00:00"/>
    <s v="Headphones"/>
    <s v="Accessories"/>
    <n v="778.02"/>
    <n v="3"/>
    <n v="0.25"/>
    <n v="0.4"/>
    <x v="2"/>
    <s v="CUST0242"/>
    <n v="2334.06"/>
  </r>
  <r>
    <n v="1273"/>
    <d v="2024-01-02T00:00:00"/>
    <s v="Mouse"/>
    <s v="Accessories"/>
    <n v="295.55"/>
    <n v="3"/>
    <n v="0.21"/>
    <n v="0.17"/>
    <x v="1"/>
    <s v="CUST0031"/>
    <n v="886.65000000000009"/>
  </r>
  <r>
    <n v="1274"/>
    <d v="2024-05-19T00:00:00"/>
    <s v="Monitor"/>
    <s v="Electronics"/>
    <n v="182.87"/>
    <n v="3"/>
    <n v="0.26"/>
    <n v="0.35"/>
    <x v="0"/>
    <s v="CUST0058"/>
    <n v="548.61"/>
  </r>
  <r>
    <n v="1275"/>
    <d v="2024-04-15T00:00:00"/>
    <s v="Keyboard"/>
    <s v="Accessories"/>
    <n v="746.63"/>
    <n v="4"/>
    <n v="0.09"/>
    <n v="0.33"/>
    <x v="1"/>
    <s v="CUST0249"/>
    <n v="2986.52"/>
  </r>
  <r>
    <n v="1276"/>
    <d v="2024-05-16T00:00:00"/>
    <s v="Mouse"/>
    <s v="Accessories"/>
    <n v="687.68"/>
    <n v="3"/>
    <n v="0.05"/>
    <n v="0.36"/>
    <x v="2"/>
    <s v="CUST0148"/>
    <n v="2063.04"/>
  </r>
  <r>
    <n v="1277"/>
    <d v="2024-07-03T00:00:00"/>
    <s v="Laptop"/>
    <s v="Electronics"/>
    <n v="945.57"/>
    <n v="4"/>
    <n v="0.02"/>
    <n v="0.18"/>
    <x v="2"/>
    <s v="CUST0100"/>
    <n v="3782.28"/>
  </r>
  <r>
    <n v="1278"/>
    <d v="2024-04-29T00:00:00"/>
    <s v="Headphones"/>
    <s v="Accessories"/>
    <n v="30.46"/>
    <n v="2"/>
    <n v="0.22"/>
    <n v="0.18"/>
    <x v="3"/>
    <s v="CUST0097"/>
    <n v="60.92"/>
  </r>
  <r>
    <n v="1279"/>
    <d v="2024-06-20T00:00:00"/>
    <s v="Tablet"/>
    <s v="Electronics"/>
    <n v="1192.26"/>
    <n v="5"/>
    <n v="0.09"/>
    <n v="0.24"/>
    <x v="3"/>
    <s v="CUST0001"/>
    <n v="5961.3"/>
  </r>
  <r>
    <n v="1280"/>
    <d v="2024-03-02T00:00:00"/>
    <s v="Keyboard"/>
    <s v="Accessories"/>
    <n v="1349.77"/>
    <n v="3"/>
    <n v="0.2"/>
    <n v="0.22"/>
    <x v="2"/>
    <s v="CUST0285"/>
    <n v="4049.31"/>
  </r>
  <r>
    <n v="1281"/>
    <d v="2024-01-20T00:00:00"/>
    <s v="Keyboard"/>
    <s v="Accessories"/>
    <n v="281.58999999999997"/>
    <n v="5"/>
    <n v="0.17"/>
    <n v="0.37"/>
    <x v="1"/>
    <s v="CUST0140"/>
    <n v="1407.9499999999998"/>
  </r>
  <r>
    <n v="1282"/>
    <d v="2024-12-18T00:00:00"/>
    <s v="Monitor"/>
    <s v="Electronics"/>
    <n v="1234.02"/>
    <n v="1"/>
    <n v="0.24"/>
    <n v="0.12"/>
    <x v="3"/>
    <s v="CUST0002"/>
    <n v="1234.02"/>
  </r>
  <r>
    <n v="1283"/>
    <d v="2024-03-09T00:00:00"/>
    <s v="Mouse"/>
    <s v="Accessories"/>
    <n v="1449.04"/>
    <n v="5"/>
    <n v="0.03"/>
    <n v="0.33"/>
    <x v="1"/>
    <s v="CUST0224"/>
    <n v="7245.2"/>
  </r>
  <r>
    <n v="1284"/>
    <d v="2024-03-07T00:00:00"/>
    <s v="Monitor"/>
    <s v="Electronics"/>
    <n v="1466.72"/>
    <n v="1"/>
    <n v="0.02"/>
    <n v="0.32"/>
    <x v="2"/>
    <s v="CUST0265"/>
    <n v="1466.72"/>
  </r>
  <r>
    <n v="1285"/>
    <d v="2024-09-09T00:00:00"/>
    <s v="Monitor"/>
    <s v="Electronics"/>
    <n v="172.73"/>
    <n v="4"/>
    <n v="0.23"/>
    <n v="0.16"/>
    <x v="0"/>
    <s v="CUST0181"/>
    <n v="690.92"/>
  </r>
  <r>
    <n v="1286"/>
    <d v="2024-03-08T00:00:00"/>
    <s v="Laptop"/>
    <s v="Electronics"/>
    <n v="155.38999999999999"/>
    <n v="2"/>
    <n v="0.12"/>
    <n v="0.23"/>
    <x v="1"/>
    <s v="CUST0076"/>
    <n v="310.77999999999997"/>
  </r>
  <r>
    <n v="1287"/>
    <d v="2024-05-09T00:00:00"/>
    <s v="Headphones"/>
    <s v="Accessories"/>
    <n v="638.84"/>
    <n v="5"/>
    <n v="0.27"/>
    <n v="0.14000000000000001"/>
    <x v="2"/>
    <s v="CUST0103"/>
    <n v="3194.2000000000003"/>
  </r>
  <r>
    <n v="1288"/>
    <d v="2024-02-16T00:00:00"/>
    <s v="Mouse"/>
    <s v="Accessories"/>
    <n v="128.35"/>
    <n v="1"/>
    <n v="0.2"/>
    <n v="0.32"/>
    <x v="3"/>
    <s v="CUST0227"/>
    <n v="128.35"/>
  </r>
  <r>
    <n v="1289"/>
    <d v="2024-04-15T00:00:00"/>
    <s v="Keyboard"/>
    <s v="Accessories"/>
    <n v="1394.93"/>
    <n v="2"/>
    <n v="0.09"/>
    <n v="0.24"/>
    <x v="3"/>
    <s v="CUST0146"/>
    <n v="2789.86"/>
  </r>
  <r>
    <n v="1290"/>
    <d v="2024-10-12T00:00:00"/>
    <s v="Keyboard"/>
    <s v="Accessories"/>
    <n v="1070.1600000000001"/>
    <n v="3"/>
    <n v="0.11"/>
    <n v="0.33"/>
    <x v="1"/>
    <s v="CUST0052"/>
    <n v="3210.4800000000005"/>
  </r>
  <r>
    <n v="1291"/>
    <d v="2024-05-05T00:00:00"/>
    <s v="Laptop"/>
    <s v="Electronics"/>
    <n v="129.28"/>
    <n v="3"/>
    <n v="0.3"/>
    <n v="0.24"/>
    <x v="0"/>
    <s v="CUST0217"/>
    <n v="387.84000000000003"/>
  </r>
  <r>
    <n v="1292"/>
    <d v="2024-07-22T00:00:00"/>
    <s v="Headphones"/>
    <s v="Accessories"/>
    <n v="1291.93"/>
    <n v="3"/>
    <n v="0.12"/>
    <n v="0.37"/>
    <x v="2"/>
    <s v="CUST0241"/>
    <n v="3875.79"/>
  </r>
  <r>
    <n v="1293"/>
    <d v="2024-05-25T00:00:00"/>
    <s v="Tablet"/>
    <s v="Electronics"/>
    <n v="631.14"/>
    <n v="2"/>
    <n v="7.0000000000000007E-2"/>
    <n v="0.37"/>
    <x v="3"/>
    <s v="CUST0226"/>
    <n v="1262.28"/>
  </r>
  <r>
    <n v="1294"/>
    <d v="2024-07-05T00:00:00"/>
    <s v="Laptop"/>
    <s v="Electronics"/>
    <n v="237.86"/>
    <n v="4"/>
    <n v="0.01"/>
    <n v="0.36"/>
    <x v="2"/>
    <s v="CUST0107"/>
    <n v="951.44"/>
  </r>
  <r>
    <n v="1295"/>
    <d v="2024-09-20T00:00:00"/>
    <s v="Monitor"/>
    <s v="Electronics"/>
    <n v="688.27"/>
    <n v="3"/>
    <n v="0.22"/>
    <n v="0.2"/>
    <x v="2"/>
    <s v="CUST0191"/>
    <n v="2064.81"/>
  </r>
  <r>
    <n v="1296"/>
    <d v="2024-10-01T00:00:00"/>
    <s v="Tablet"/>
    <s v="Electronics"/>
    <n v="1325.91"/>
    <n v="1"/>
    <n v="0.06"/>
    <n v="0.32"/>
    <x v="1"/>
    <s v="CUST0194"/>
    <n v="1325.91"/>
  </r>
  <r>
    <n v="1297"/>
    <d v="2024-01-26T00:00:00"/>
    <s v="Mouse"/>
    <s v="Accessories"/>
    <n v="624.99"/>
    <n v="3"/>
    <n v="0"/>
    <n v="0.11"/>
    <x v="1"/>
    <s v="CUST0212"/>
    <n v="1874.97"/>
  </r>
  <r>
    <n v="1298"/>
    <d v="2024-06-15T00:00:00"/>
    <s v="Keyboard"/>
    <s v="Accessories"/>
    <n v="667.06"/>
    <n v="3"/>
    <n v="0.16"/>
    <n v="0.1"/>
    <x v="0"/>
    <s v="CUST0175"/>
    <n v="2001.1799999999998"/>
  </r>
  <r>
    <n v="1299"/>
    <d v="2024-01-16T00:00:00"/>
    <s v="Tablet"/>
    <s v="Electronics"/>
    <n v="1125.97"/>
    <n v="1"/>
    <n v="0.13"/>
    <n v="0.32"/>
    <x v="1"/>
    <s v="CUST0138"/>
    <n v="1125.97"/>
  </r>
  <r>
    <n v="1300"/>
    <d v="2024-04-15T00:00:00"/>
    <s v="Mouse"/>
    <s v="Accessories"/>
    <n v="1224.3800000000001"/>
    <n v="2"/>
    <n v="0.05"/>
    <n v="0.21"/>
    <x v="0"/>
    <s v="CUST0295"/>
    <n v="2448.7600000000002"/>
  </r>
  <r>
    <n v="1301"/>
    <d v="2024-09-25T00:00:00"/>
    <s v="Headphones"/>
    <s v="Accessories"/>
    <n v="951.34"/>
    <n v="5"/>
    <n v="0.17"/>
    <n v="0.28000000000000003"/>
    <x v="0"/>
    <s v="CUST0236"/>
    <n v="4756.7"/>
  </r>
  <r>
    <n v="1302"/>
    <d v="2024-08-29T00:00:00"/>
    <s v="Laptop"/>
    <s v="Electronics"/>
    <n v="68.03"/>
    <n v="3"/>
    <n v="0.13"/>
    <n v="0.25"/>
    <x v="2"/>
    <s v="CUST0046"/>
    <n v="204.09"/>
  </r>
  <r>
    <n v="1303"/>
    <d v="2024-06-02T00:00:00"/>
    <s v="Headphones"/>
    <s v="Accessories"/>
    <n v="107.2"/>
    <n v="2"/>
    <n v="0.11"/>
    <n v="0.4"/>
    <x v="0"/>
    <s v="CUST0085"/>
    <n v="214.4"/>
  </r>
  <r>
    <n v="1304"/>
    <d v="2024-02-15T00:00:00"/>
    <s v="Laptop"/>
    <s v="Electronics"/>
    <n v="676.22"/>
    <n v="1"/>
    <n v="0.17"/>
    <n v="0.38"/>
    <x v="3"/>
    <s v="CUST0075"/>
    <n v="676.22"/>
  </r>
  <r>
    <n v="1305"/>
    <d v="2024-03-12T00:00:00"/>
    <s v="Keyboard"/>
    <s v="Accessories"/>
    <n v="1359.07"/>
    <n v="2"/>
    <n v="0.22"/>
    <n v="0.28000000000000003"/>
    <x v="0"/>
    <s v="CUST0136"/>
    <n v="2718.14"/>
  </r>
  <r>
    <n v="1306"/>
    <d v="2024-03-10T00:00:00"/>
    <s v="Tablet"/>
    <s v="Electronics"/>
    <n v="937.65"/>
    <n v="1"/>
    <n v="0.14000000000000001"/>
    <n v="0.17"/>
    <x v="1"/>
    <s v="CUST0163"/>
    <n v="937.65"/>
  </r>
  <r>
    <n v="1307"/>
    <d v="2024-10-04T00:00:00"/>
    <s v="Monitor"/>
    <s v="Electronics"/>
    <n v="1251.79"/>
    <n v="2"/>
    <n v="0.16"/>
    <n v="0.28999999999999998"/>
    <x v="3"/>
    <s v="CUST0053"/>
    <n v="2503.58"/>
  </r>
  <r>
    <n v="1308"/>
    <d v="2024-07-01T00:00:00"/>
    <s v="Headphones"/>
    <s v="Accessories"/>
    <n v="1350.53"/>
    <n v="2"/>
    <n v="0.28000000000000003"/>
    <n v="0.24"/>
    <x v="1"/>
    <s v="CUST0030"/>
    <n v="2701.06"/>
  </r>
  <r>
    <n v="1309"/>
    <d v="2024-02-20T00:00:00"/>
    <s v="Monitor"/>
    <s v="Electronics"/>
    <n v="350.19"/>
    <n v="4"/>
    <n v="0.12"/>
    <n v="0.38"/>
    <x v="3"/>
    <s v="CUST0103"/>
    <n v="1400.76"/>
  </r>
  <r>
    <n v="1310"/>
    <d v="2024-04-29T00:00:00"/>
    <s v="Mouse"/>
    <s v="Accessories"/>
    <n v="1400.59"/>
    <n v="3"/>
    <n v="0.16"/>
    <n v="0.13"/>
    <x v="0"/>
    <s v="CUST0179"/>
    <n v="4201.7699999999995"/>
  </r>
  <r>
    <n v="1311"/>
    <d v="2024-11-24T00:00:00"/>
    <s v="Keyboard"/>
    <s v="Accessories"/>
    <n v="1286.3699999999999"/>
    <n v="1"/>
    <n v="0.21"/>
    <n v="0.23"/>
    <x v="2"/>
    <s v="CUST0071"/>
    <n v="1286.3699999999999"/>
  </r>
  <r>
    <n v="1312"/>
    <d v="2024-05-08T00:00:00"/>
    <s v="Monitor"/>
    <s v="Electronics"/>
    <n v="282.81"/>
    <n v="5"/>
    <n v="0.28999999999999998"/>
    <n v="0.19"/>
    <x v="2"/>
    <s v="CUST0098"/>
    <n v="1414.05"/>
  </r>
  <r>
    <n v="1313"/>
    <d v="2024-05-09T00:00:00"/>
    <s v="Keyboard"/>
    <s v="Accessories"/>
    <n v="1018.29"/>
    <n v="5"/>
    <n v="0.27"/>
    <n v="0.12"/>
    <x v="0"/>
    <s v="CUST0099"/>
    <n v="5091.45"/>
  </r>
  <r>
    <n v="1314"/>
    <d v="2024-11-09T00:00:00"/>
    <s v="Laptop"/>
    <s v="Electronics"/>
    <n v="61.39"/>
    <n v="3"/>
    <n v="0.16"/>
    <n v="0.4"/>
    <x v="2"/>
    <s v="CUST0224"/>
    <n v="184.17000000000002"/>
  </r>
  <r>
    <n v="1315"/>
    <d v="2024-12-16T00:00:00"/>
    <s v="Mouse"/>
    <s v="Accessories"/>
    <n v="337.82"/>
    <n v="3"/>
    <n v="0.19"/>
    <n v="0.11"/>
    <x v="1"/>
    <s v="CUST0172"/>
    <n v="1013.46"/>
  </r>
  <r>
    <n v="1316"/>
    <d v="2024-06-08T00:00:00"/>
    <s v="Laptop"/>
    <s v="Electronics"/>
    <n v="370.63"/>
    <n v="3"/>
    <n v="0.11"/>
    <n v="0.13"/>
    <x v="2"/>
    <s v="CUST0140"/>
    <n v="1111.8899999999999"/>
  </r>
  <r>
    <n v="1317"/>
    <d v="2024-01-31T00:00:00"/>
    <s v="Headphones"/>
    <s v="Accessories"/>
    <n v="528.82000000000005"/>
    <n v="2"/>
    <n v="0.08"/>
    <n v="0.4"/>
    <x v="0"/>
    <s v="CUST0050"/>
    <n v="1057.6400000000001"/>
  </r>
  <r>
    <n v="1318"/>
    <d v="2024-09-12T00:00:00"/>
    <s v="Mouse"/>
    <s v="Accessories"/>
    <n v="1242.52"/>
    <n v="2"/>
    <n v="0.28999999999999998"/>
    <n v="0.3"/>
    <x v="2"/>
    <s v="CUST0277"/>
    <n v="2485.04"/>
  </r>
  <r>
    <n v="1319"/>
    <d v="2024-10-20T00:00:00"/>
    <s v="Monitor"/>
    <s v="Electronics"/>
    <n v="934.03"/>
    <n v="1"/>
    <n v="0.04"/>
    <n v="0.28999999999999998"/>
    <x v="3"/>
    <s v="CUST0029"/>
    <n v="934.03"/>
  </r>
  <r>
    <n v="1320"/>
    <d v="2024-07-16T00:00:00"/>
    <s v="Keyboard"/>
    <s v="Accessories"/>
    <n v="1160.3499999999999"/>
    <n v="1"/>
    <n v="0.03"/>
    <n v="0.35"/>
    <x v="2"/>
    <s v="CUST0169"/>
    <n v="1160.3499999999999"/>
  </r>
  <r>
    <n v="1321"/>
    <d v="2024-05-06T00:00:00"/>
    <s v="Keyboard"/>
    <s v="Accessories"/>
    <n v="792.34"/>
    <n v="4"/>
    <n v="0.15"/>
    <n v="0.37"/>
    <x v="1"/>
    <s v="CUST0106"/>
    <n v="3169.36"/>
  </r>
  <r>
    <n v="1322"/>
    <d v="2024-07-22T00:00:00"/>
    <s v="Headphones"/>
    <s v="Accessories"/>
    <n v="1041.54"/>
    <n v="2"/>
    <n v="0.28000000000000003"/>
    <n v="0.35"/>
    <x v="3"/>
    <s v="CUST0025"/>
    <n v="2083.08"/>
  </r>
  <r>
    <n v="1323"/>
    <d v="2024-04-08T00:00:00"/>
    <s v="Monitor"/>
    <s v="Electronics"/>
    <n v="345.23"/>
    <n v="5"/>
    <n v="0.09"/>
    <n v="0.39"/>
    <x v="2"/>
    <s v="CUST0195"/>
    <n v="1726.15"/>
  </r>
  <r>
    <n v="1324"/>
    <d v="2024-04-03T00:00:00"/>
    <s v="Laptop"/>
    <s v="Electronics"/>
    <n v="861.98"/>
    <n v="2"/>
    <n v="0.16"/>
    <n v="0.27"/>
    <x v="3"/>
    <s v="CUST0095"/>
    <n v="1723.96"/>
  </r>
  <r>
    <n v="1325"/>
    <d v="2024-12-08T00:00:00"/>
    <s v="Mouse"/>
    <s v="Accessories"/>
    <n v="614.5"/>
    <n v="3"/>
    <n v="0.28999999999999998"/>
    <n v="0.11"/>
    <x v="0"/>
    <s v="CUST0123"/>
    <n v="1843.5"/>
  </r>
  <r>
    <n v="1326"/>
    <d v="2024-04-10T00:00:00"/>
    <s v="Headphones"/>
    <s v="Accessories"/>
    <n v="405.22"/>
    <n v="1"/>
    <n v="0"/>
    <n v="0.11"/>
    <x v="0"/>
    <s v="CUST0218"/>
    <n v="405.22"/>
  </r>
  <r>
    <n v="1327"/>
    <d v="2024-01-20T00:00:00"/>
    <s v="Keyboard"/>
    <s v="Accessories"/>
    <n v="1238.42"/>
    <n v="5"/>
    <n v="0.28999999999999998"/>
    <n v="0.37"/>
    <x v="2"/>
    <s v="CUST0074"/>
    <n v="6192.1"/>
  </r>
  <r>
    <n v="1328"/>
    <d v="2024-01-26T00:00:00"/>
    <s v="Laptop"/>
    <s v="Electronics"/>
    <n v="760.98"/>
    <n v="4"/>
    <n v="0.21"/>
    <n v="0.25"/>
    <x v="0"/>
    <s v="CUST0163"/>
    <n v="3043.92"/>
  </r>
  <r>
    <n v="1329"/>
    <d v="2024-09-17T00:00:00"/>
    <s v="Headphones"/>
    <s v="Accessories"/>
    <n v="740.8"/>
    <n v="1"/>
    <n v="0.25"/>
    <n v="0.26"/>
    <x v="1"/>
    <s v="CUST0154"/>
    <n v="740.8"/>
  </r>
  <r>
    <n v="1330"/>
    <d v="2024-10-17T00:00:00"/>
    <s v="Laptop"/>
    <s v="Electronics"/>
    <n v="1311.78"/>
    <n v="4"/>
    <n v="0.18"/>
    <n v="0.13"/>
    <x v="0"/>
    <s v="CUST0125"/>
    <n v="5247.12"/>
  </r>
  <r>
    <n v="1331"/>
    <d v="2024-07-03T00:00:00"/>
    <s v="Laptop"/>
    <s v="Electronics"/>
    <n v="789.59"/>
    <n v="5"/>
    <n v="0.18"/>
    <n v="0.18"/>
    <x v="2"/>
    <s v="CUST0118"/>
    <n v="3947.9500000000003"/>
  </r>
  <r>
    <n v="1332"/>
    <d v="2024-03-09T00:00:00"/>
    <s v="Laptop"/>
    <s v="Electronics"/>
    <n v="1210.45"/>
    <n v="3"/>
    <n v="0.19"/>
    <n v="0.38"/>
    <x v="1"/>
    <s v="CUST0232"/>
    <n v="3631.3500000000004"/>
  </r>
  <r>
    <n v="1333"/>
    <d v="2024-01-16T00:00:00"/>
    <s v="Tablet"/>
    <s v="Electronics"/>
    <n v="696.06"/>
    <n v="1"/>
    <n v="0.04"/>
    <n v="0.26"/>
    <x v="0"/>
    <s v="CUST0134"/>
    <n v="696.06"/>
  </r>
  <r>
    <n v="1334"/>
    <d v="2024-03-29T00:00:00"/>
    <s v="Tablet"/>
    <s v="Electronics"/>
    <n v="156.97"/>
    <n v="4"/>
    <n v="0.09"/>
    <n v="0.1"/>
    <x v="2"/>
    <s v="CUST0261"/>
    <n v="627.88"/>
  </r>
  <r>
    <n v="1335"/>
    <d v="2024-06-26T00:00:00"/>
    <s v="Tablet"/>
    <s v="Electronics"/>
    <n v="171.38"/>
    <n v="4"/>
    <n v="0.04"/>
    <n v="0.32"/>
    <x v="3"/>
    <s v="CUST0189"/>
    <n v="685.52"/>
  </r>
  <r>
    <n v="1336"/>
    <d v="2024-11-14T00:00:00"/>
    <s v="Tablet"/>
    <s v="Electronics"/>
    <n v="944.13"/>
    <n v="3"/>
    <n v="0.27"/>
    <n v="0.31"/>
    <x v="3"/>
    <s v="CUST0274"/>
    <n v="2832.39"/>
  </r>
  <r>
    <n v="1337"/>
    <d v="2024-05-25T00:00:00"/>
    <s v="Headphones"/>
    <s v="Accessories"/>
    <n v="429.39"/>
    <n v="1"/>
    <n v="0.23"/>
    <n v="0.34"/>
    <x v="2"/>
    <s v="CUST0216"/>
    <n v="429.39"/>
  </r>
  <r>
    <n v="1338"/>
    <d v="2024-08-14T00:00:00"/>
    <s v="Tablet"/>
    <s v="Electronics"/>
    <n v="1303.23"/>
    <n v="2"/>
    <n v="0.01"/>
    <n v="0.19"/>
    <x v="3"/>
    <s v="CUST0091"/>
    <n v="2606.46"/>
  </r>
  <r>
    <n v="1339"/>
    <d v="2024-03-19T00:00:00"/>
    <s v="Tablet"/>
    <s v="Electronics"/>
    <n v="262.27"/>
    <n v="2"/>
    <n v="0.14000000000000001"/>
    <n v="0.36"/>
    <x v="3"/>
    <s v="CUST0181"/>
    <n v="524.54"/>
  </r>
  <r>
    <n v="1340"/>
    <d v="2024-07-04T00:00:00"/>
    <s v="Tablet"/>
    <s v="Electronics"/>
    <n v="771.56"/>
    <n v="1"/>
    <n v="0.06"/>
    <n v="0.24"/>
    <x v="2"/>
    <s v="CUST0049"/>
    <n v="771.56"/>
  </r>
  <r>
    <n v="1341"/>
    <d v="2024-03-17T00:00:00"/>
    <s v="Tablet"/>
    <s v="Electronics"/>
    <n v="815.14"/>
    <n v="4"/>
    <n v="0.18"/>
    <n v="0.34"/>
    <x v="1"/>
    <s v="CUST0049"/>
    <n v="3260.56"/>
  </r>
  <r>
    <n v="1342"/>
    <d v="2024-07-07T00:00:00"/>
    <s v="Monitor"/>
    <s v="Electronics"/>
    <n v="1213.06"/>
    <n v="1"/>
    <n v="0.25"/>
    <n v="0.22"/>
    <x v="3"/>
    <s v="CUST0201"/>
    <n v="1213.06"/>
  </r>
  <r>
    <n v="1343"/>
    <d v="2024-04-10T00:00:00"/>
    <s v="Tablet"/>
    <s v="Electronics"/>
    <n v="1095.94"/>
    <n v="3"/>
    <n v="7.0000000000000007E-2"/>
    <n v="0.34"/>
    <x v="2"/>
    <s v="CUST0004"/>
    <n v="3287.82"/>
  </r>
  <r>
    <n v="1344"/>
    <d v="2024-12-06T00:00:00"/>
    <s v="Tablet"/>
    <s v="Electronics"/>
    <n v="803.45"/>
    <n v="1"/>
    <n v="0.03"/>
    <n v="0.17"/>
    <x v="2"/>
    <s v="CUST0011"/>
    <n v="803.45"/>
  </r>
  <r>
    <n v="1345"/>
    <d v="2024-03-20T00:00:00"/>
    <s v="Monitor"/>
    <s v="Electronics"/>
    <n v="181.74"/>
    <n v="2"/>
    <n v="0.05"/>
    <n v="0.23"/>
    <x v="1"/>
    <s v="CUST0028"/>
    <n v="363.48"/>
  </r>
  <r>
    <n v="1346"/>
    <d v="2024-01-12T00:00:00"/>
    <s v="Keyboard"/>
    <s v="Accessories"/>
    <n v="1042.1400000000001"/>
    <n v="3"/>
    <n v="0.16"/>
    <n v="0.27"/>
    <x v="2"/>
    <s v="CUST0105"/>
    <n v="3126.42"/>
  </r>
  <r>
    <n v="1347"/>
    <d v="2024-09-29T00:00:00"/>
    <s v="Keyboard"/>
    <s v="Accessories"/>
    <n v="465.28"/>
    <n v="5"/>
    <n v="0.28999999999999998"/>
    <n v="0.21"/>
    <x v="1"/>
    <s v="CUST0012"/>
    <n v="2326.3999999999996"/>
  </r>
  <r>
    <n v="1348"/>
    <d v="2024-04-01T00:00:00"/>
    <s v="Mouse"/>
    <s v="Accessories"/>
    <n v="297.04000000000002"/>
    <n v="3"/>
    <n v="0.23"/>
    <n v="0.16"/>
    <x v="0"/>
    <s v="CUST0299"/>
    <n v="891.12000000000012"/>
  </r>
  <r>
    <n v="1349"/>
    <d v="2024-02-24T00:00:00"/>
    <s v="Mouse"/>
    <s v="Accessories"/>
    <n v="1004.45"/>
    <n v="3"/>
    <n v="0.15"/>
    <n v="0.19"/>
    <x v="3"/>
    <s v="CUST0126"/>
    <n v="3013.3500000000004"/>
  </r>
  <r>
    <n v="1350"/>
    <d v="2024-01-26T00:00:00"/>
    <s v="Headphones"/>
    <s v="Accessories"/>
    <n v="856.51"/>
    <n v="5"/>
    <n v="0.22"/>
    <n v="0.12"/>
    <x v="1"/>
    <s v="CUST0162"/>
    <n v="4282.55"/>
  </r>
  <r>
    <n v="1351"/>
    <d v="2024-05-01T00:00:00"/>
    <s v="Headphones"/>
    <s v="Accessories"/>
    <n v="1231.99"/>
    <n v="2"/>
    <n v="0.26"/>
    <n v="0.21"/>
    <x v="3"/>
    <s v="CUST0105"/>
    <n v="2463.98"/>
  </r>
  <r>
    <n v="1352"/>
    <d v="2024-09-29T00:00:00"/>
    <s v="Mouse"/>
    <s v="Accessories"/>
    <n v="657.6"/>
    <n v="3"/>
    <n v="0.27"/>
    <n v="0.14000000000000001"/>
    <x v="2"/>
    <s v="CUST0154"/>
    <n v="1972.8000000000002"/>
  </r>
  <r>
    <n v="1353"/>
    <d v="2024-04-18T00:00:00"/>
    <s v="Headphones"/>
    <s v="Accessories"/>
    <n v="790.83"/>
    <n v="4"/>
    <n v="0.02"/>
    <n v="0.16"/>
    <x v="2"/>
    <s v="CUST0198"/>
    <n v="3163.32"/>
  </r>
  <r>
    <n v="1354"/>
    <d v="2024-12-03T00:00:00"/>
    <s v="Tablet"/>
    <s v="Electronics"/>
    <n v="885.33"/>
    <n v="3"/>
    <n v="0.11"/>
    <n v="0.38"/>
    <x v="0"/>
    <s v="CUST0065"/>
    <n v="2655.9900000000002"/>
  </r>
  <r>
    <n v="1355"/>
    <d v="2024-11-15T00:00:00"/>
    <s v="Keyboard"/>
    <s v="Accessories"/>
    <n v="212.66"/>
    <n v="5"/>
    <n v="0.21"/>
    <n v="0.3"/>
    <x v="2"/>
    <s v="CUST0037"/>
    <n v="1063.3"/>
  </r>
  <r>
    <n v="1356"/>
    <d v="2024-12-13T00:00:00"/>
    <s v="Keyboard"/>
    <s v="Accessories"/>
    <n v="81.12"/>
    <n v="2"/>
    <n v="0.16"/>
    <n v="0.16"/>
    <x v="0"/>
    <s v="CUST0069"/>
    <n v="162.24"/>
  </r>
  <r>
    <n v="1357"/>
    <d v="2024-04-09T00:00:00"/>
    <s v="Keyboard"/>
    <s v="Accessories"/>
    <n v="30.78"/>
    <n v="3"/>
    <n v="0.24"/>
    <n v="0.34"/>
    <x v="1"/>
    <s v="CUST0181"/>
    <n v="92.34"/>
  </r>
  <r>
    <n v="1358"/>
    <d v="2024-04-10T00:00:00"/>
    <s v="Mouse"/>
    <s v="Accessories"/>
    <n v="1098.1199999999999"/>
    <n v="3"/>
    <n v="0.05"/>
    <n v="0.19"/>
    <x v="0"/>
    <s v="CUST0204"/>
    <n v="3294.3599999999997"/>
  </r>
  <r>
    <n v="1359"/>
    <d v="2024-05-09T00:00:00"/>
    <s v="Headphones"/>
    <s v="Accessories"/>
    <n v="321.05"/>
    <n v="5"/>
    <n v="0.16"/>
    <n v="0.12"/>
    <x v="2"/>
    <s v="CUST0282"/>
    <n v="1605.25"/>
  </r>
  <r>
    <n v="1360"/>
    <d v="2024-10-05T00:00:00"/>
    <s v="Tablet"/>
    <s v="Electronics"/>
    <n v="940.32"/>
    <n v="4"/>
    <n v="0.12"/>
    <n v="0.38"/>
    <x v="3"/>
    <s v="CUST0013"/>
    <n v="3761.28"/>
  </r>
  <r>
    <n v="1361"/>
    <d v="2024-05-02T00:00:00"/>
    <s v="Headphones"/>
    <s v="Accessories"/>
    <n v="1277.96"/>
    <n v="3"/>
    <n v="0.14000000000000001"/>
    <n v="0.21"/>
    <x v="0"/>
    <s v="CUST0103"/>
    <n v="3833.88"/>
  </r>
  <r>
    <n v="1362"/>
    <d v="2024-02-19T00:00:00"/>
    <s v="Mouse"/>
    <s v="Accessories"/>
    <n v="1117.06"/>
    <n v="3"/>
    <n v="0.23"/>
    <n v="0.15"/>
    <x v="1"/>
    <s v="CUST0155"/>
    <n v="3351.18"/>
  </r>
  <r>
    <n v="1363"/>
    <d v="2024-07-09T00:00:00"/>
    <s v="Laptop"/>
    <s v="Electronics"/>
    <n v="65.52"/>
    <n v="2"/>
    <n v="0.19"/>
    <n v="0.38"/>
    <x v="2"/>
    <s v="CUST0266"/>
    <n v="131.04"/>
  </r>
  <r>
    <n v="1364"/>
    <d v="2024-03-15T00:00:00"/>
    <s v="Mouse"/>
    <s v="Accessories"/>
    <n v="1017.15"/>
    <n v="3"/>
    <n v="0.02"/>
    <n v="0.12"/>
    <x v="3"/>
    <s v="CUST0277"/>
    <n v="3051.45"/>
  </r>
  <r>
    <n v="1365"/>
    <d v="2024-02-17T00:00:00"/>
    <s v="Headphones"/>
    <s v="Accessories"/>
    <n v="72.89"/>
    <n v="5"/>
    <n v="0.22"/>
    <n v="0.4"/>
    <x v="0"/>
    <s v="CUST0027"/>
    <n v="364.45"/>
  </r>
  <r>
    <n v="1366"/>
    <d v="2024-05-30T00:00:00"/>
    <s v="Keyboard"/>
    <s v="Accessories"/>
    <n v="1258.22"/>
    <n v="4"/>
    <n v="0.28000000000000003"/>
    <n v="0.1"/>
    <x v="1"/>
    <s v="CUST0275"/>
    <n v="5032.88"/>
  </r>
  <r>
    <n v="1367"/>
    <d v="2024-04-30T00:00:00"/>
    <s v="Monitor"/>
    <s v="Electronics"/>
    <n v="574.15"/>
    <n v="4"/>
    <n v="0.02"/>
    <n v="0.24"/>
    <x v="3"/>
    <s v="CUST0253"/>
    <n v="2296.6"/>
  </r>
  <r>
    <n v="1368"/>
    <d v="2024-08-30T00:00:00"/>
    <s v="Mouse"/>
    <s v="Accessories"/>
    <n v="1480.19"/>
    <n v="5"/>
    <n v="0.19"/>
    <n v="0.19"/>
    <x v="2"/>
    <s v="CUST0285"/>
    <n v="7400.9500000000007"/>
  </r>
  <r>
    <n v="1369"/>
    <d v="2024-08-01T00:00:00"/>
    <s v="Mouse"/>
    <s v="Accessories"/>
    <n v="437.03"/>
    <n v="1"/>
    <n v="0.25"/>
    <n v="0.25"/>
    <x v="1"/>
    <s v="CUST0106"/>
    <n v="437.03"/>
  </r>
  <r>
    <n v="1370"/>
    <d v="2024-09-14T00:00:00"/>
    <s v="Monitor"/>
    <s v="Electronics"/>
    <n v="39.770000000000003"/>
    <n v="4"/>
    <n v="0.05"/>
    <n v="0.16"/>
    <x v="0"/>
    <s v="CUST0176"/>
    <n v="159.08000000000001"/>
  </r>
  <r>
    <n v="1371"/>
    <d v="2024-06-04T00:00:00"/>
    <s v="Mouse"/>
    <s v="Accessories"/>
    <n v="1091.51"/>
    <n v="5"/>
    <n v="0.06"/>
    <n v="0.13"/>
    <x v="3"/>
    <s v="CUST0254"/>
    <n v="5457.55"/>
  </r>
  <r>
    <n v="1372"/>
    <d v="2024-12-09T00:00:00"/>
    <s v="Monitor"/>
    <s v="Electronics"/>
    <n v="599.54"/>
    <n v="1"/>
    <n v="0"/>
    <n v="0.21"/>
    <x v="1"/>
    <s v="CUST0010"/>
    <n v="599.54"/>
  </r>
  <r>
    <n v="1373"/>
    <d v="2024-12-23T00:00:00"/>
    <s v="Keyboard"/>
    <s v="Accessories"/>
    <n v="225.05"/>
    <n v="2"/>
    <n v="0.03"/>
    <n v="0.13"/>
    <x v="0"/>
    <s v="CUST0208"/>
    <n v="450.1"/>
  </r>
  <r>
    <n v="1374"/>
    <d v="2024-09-30T00:00:00"/>
    <s v="Laptop"/>
    <s v="Electronics"/>
    <n v="1179.55"/>
    <n v="3"/>
    <n v="0.19"/>
    <n v="0.14000000000000001"/>
    <x v="3"/>
    <s v="CUST0190"/>
    <n v="3538.6499999999996"/>
  </r>
  <r>
    <n v="1375"/>
    <d v="2024-07-17T00:00:00"/>
    <s v="Laptop"/>
    <s v="Electronics"/>
    <n v="1267.24"/>
    <n v="1"/>
    <n v="0.28999999999999998"/>
    <n v="0.28000000000000003"/>
    <x v="1"/>
    <s v="CUST0194"/>
    <n v="1267.24"/>
  </r>
  <r>
    <n v="1376"/>
    <d v="2024-04-25T00:00:00"/>
    <s v="Keyboard"/>
    <s v="Accessories"/>
    <n v="618.73"/>
    <n v="2"/>
    <n v="0.16"/>
    <n v="0.18"/>
    <x v="3"/>
    <s v="CUST0129"/>
    <n v="1237.46"/>
  </r>
  <r>
    <n v="1377"/>
    <d v="2024-08-07T00:00:00"/>
    <s v="Keyboard"/>
    <s v="Accessories"/>
    <n v="1423.09"/>
    <n v="4"/>
    <n v="0.15"/>
    <n v="0.19"/>
    <x v="0"/>
    <s v="CUST0245"/>
    <n v="5692.36"/>
  </r>
  <r>
    <n v="1378"/>
    <d v="2024-04-09T00:00:00"/>
    <s v="Keyboard"/>
    <s v="Accessories"/>
    <n v="100.56"/>
    <n v="2"/>
    <n v="0.27"/>
    <n v="0.31"/>
    <x v="1"/>
    <s v="CUST0058"/>
    <n v="201.12"/>
  </r>
  <r>
    <n v="1379"/>
    <d v="2024-03-03T00:00:00"/>
    <s v="Headphones"/>
    <s v="Accessories"/>
    <n v="1164.94"/>
    <n v="1"/>
    <n v="0.08"/>
    <n v="0.26"/>
    <x v="3"/>
    <s v="CUST0047"/>
    <n v="1164.94"/>
  </r>
  <r>
    <n v="1380"/>
    <d v="2024-04-01T00:00:00"/>
    <s v="Keyboard"/>
    <s v="Accessories"/>
    <n v="575.70000000000005"/>
    <n v="1"/>
    <n v="0.23"/>
    <n v="0.21"/>
    <x v="2"/>
    <s v="CUST0299"/>
    <n v="575.70000000000005"/>
  </r>
  <r>
    <n v="1381"/>
    <d v="2024-05-11T00:00:00"/>
    <s v="Monitor"/>
    <s v="Electronics"/>
    <n v="1218.82"/>
    <n v="4"/>
    <n v="0.01"/>
    <n v="0.15"/>
    <x v="3"/>
    <s v="CUST0148"/>
    <n v="4875.28"/>
  </r>
  <r>
    <n v="1382"/>
    <d v="2024-06-04T00:00:00"/>
    <s v="Keyboard"/>
    <s v="Accessories"/>
    <n v="128.85"/>
    <n v="4"/>
    <n v="0.12"/>
    <n v="0.27"/>
    <x v="3"/>
    <s v="CUST0098"/>
    <n v="515.4"/>
  </r>
  <r>
    <n v="1383"/>
    <d v="2024-03-23T00:00:00"/>
    <s v="Tablet"/>
    <s v="Electronics"/>
    <n v="30.84"/>
    <n v="4"/>
    <n v="0.05"/>
    <n v="0.21"/>
    <x v="2"/>
    <s v="CUST0228"/>
    <n v="123.36"/>
  </r>
  <r>
    <n v="1384"/>
    <d v="2024-07-07T00:00:00"/>
    <s v="Mouse"/>
    <s v="Accessories"/>
    <n v="975.21"/>
    <n v="3"/>
    <n v="0.13"/>
    <n v="0.22"/>
    <x v="2"/>
    <s v="CUST0033"/>
    <n v="2925.63"/>
  </r>
  <r>
    <n v="1385"/>
    <d v="2024-10-30T00:00:00"/>
    <s v="Keyboard"/>
    <s v="Accessories"/>
    <n v="342.88"/>
    <n v="2"/>
    <n v="0.16"/>
    <n v="0.32"/>
    <x v="2"/>
    <s v="CUST0205"/>
    <n v="685.76"/>
  </r>
  <r>
    <n v="1386"/>
    <d v="2024-03-18T00:00:00"/>
    <s v="Keyboard"/>
    <s v="Accessories"/>
    <n v="637.35"/>
    <n v="1"/>
    <n v="0.05"/>
    <n v="0.34"/>
    <x v="3"/>
    <s v="CUST0182"/>
    <n v="637.35"/>
  </r>
  <r>
    <n v="1387"/>
    <d v="2024-01-27T00:00:00"/>
    <s v="Tablet"/>
    <s v="Electronics"/>
    <n v="152.05000000000001"/>
    <n v="3"/>
    <n v="0.27"/>
    <n v="0.19"/>
    <x v="0"/>
    <s v="CUST0230"/>
    <n v="456.15000000000003"/>
  </r>
  <r>
    <n v="1388"/>
    <d v="2024-07-31T00:00:00"/>
    <s v="Headphones"/>
    <s v="Accessories"/>
    <n v="51.67"/>
    <n v="4"/>
    <n v="0.16"/>
    <n v="0.28999999999999998"/>
    <x v="3"/>
    <s v="CUST0267"/>
    <n v="206.68"/>
  </r>
  <r>
    <n v="1389"/>
    <d v="2024-01-22T00:00:00"/>
    <s v="Tablet"/>
    <s v="Electronics"/>
    <n v="1017.84"/>
    <n v="1"/>
    <n v="0.26"/>
    <n v="0.24"/>
    <x v="2"/>
    <s v="CUST0279"/>
    <n v="1017.84"/>
  </r>
  <r>
    <n v="1390"/>
    <d v="2024-07-22T00:00:00"/>
    <s v="Headphones"/>
    <s v="Accessories"/>
    <n v="256"/>
    <n v="1"/>
    <n v="0.14000000000000001"/>
    <n v="0.37"/>
    <x v="2"/>
    <s v="CUST0239"/>
    <n v="256"/>
  </r>
  <r>
    <n v="1391"/>
    <d v="2024-08-09T00:00:00"/>
    <s v="Laptop"/>
    <s v="Electronics"/>
    <n v="1472.6"/>
    <n v="3"/>
    <n v="0.1"/>
    <n v="0.37"/>
    <x v="3"/>
    <s v="CUST0123"/>
    <n v="4417.7999999999993"/>
  </r>
  <r>
    <n v="1392"/>
    <d v="2024-08-23T00:00:00"/>
    <s v="Mouse"/>
    <s v="Accessories"/>
    <n v="1014.53"/>
    <n v="2"/>
    <n v="0.14000000000000001"/>
    <n v="0.35"/>
    <x v="3"/>
    <s v="CUST0171"/>
    <n v="2029.06"/>
  </r>
  <r>
    <n v="1393"/>
    <d v="2024-01-06T00:00:00"/>
    <s v="Headphones"/>
    <s v="Accessories"/>
    <n v="987.77"/>
    <n v="5"/>
    <n v="0.19"/>
    <n v="0.28000000000000003"/>
    <x v="3"/>
    <s v="CUST0222"/>
    <n v="4938.8500000000004"/>
  </r>
  <r>
    <n v="1394"/>
    <d v="2024-08-22T00:00:00"/>
    <s v="Keyboard"/>
    <s v="Accessories"/>
    <n v="312.54000000000002"/>
    <n v="5"/>
    <n v="0.17"/>
    <n v="0.33"/>
    <x v="3"/>
    <s v="CUST0295"/>
    <n v="1562.7"/>
  </r>
  <r>
    <n v="1395"/>
    <d v="2024-10-24T00:00:00"/>
    <s v="Tablet"/>
    <s v="Electronics"/>
    <n v="591.32000000000005"/>
    <n v="5"/>
    <n v="0.03"/>
    <n v="0.26"/>
    <x v="3"/>
    <s v="CUST0299"/>
    <n v="2956.6000000000004"/>
  </r>
  <r>
    <n v="1396"/>
    <d v="2024-11-05T00:00:00"/>
    <s v="Monitor"/>
    <s v="Electronics"/>
    <n v="692.02"/>
    <n v="3"/>
    <n v="0.28999999999999998"/>
    <n v="0.32"/>
    <x v="1"/>
    <s v="CUST0137"/>
    <n v="2076.06"/>
  </r>
  <r>
    <n v="1397"/>
    <d v="2024-05-31T00:00:00"/>
    <s v="Mouse"/>
    <s v="Accessories"/>
    <n v="1305.44"/>
    <n v="1"/>
    <n v="0.09"/>
    <n v="0.3"/>
    <x v="0"/>
    <s v="CUST0001"/>
    <n v="1305.44"/>
  </r>
  <r>
    <n v="1398"/>
    <d v="2024-06-11T00:00:00"/>
    <s v="Headphones"/>
    <s v="Accessories"/>
    <n v="573.29999999999995"/>
    <n v="3"/>
    <n v="0.21"/>
    <n v="0.11"/>
    <x v="0"/>
    <s v="CUST0217"/>
    <n v="1719.8999999999999"/>
  </r>
  <r>
    <n v="1399"/>
    <d v="2024-12-17T00:00:00"/>
    <s v="Monitor"/>
    <s v="Electronics"/>
    <n v="1172.42"/>
    <n v="5"/>
    <n v="0.11"/>
    <n v="0.21"/>
    <x v="1"/>
    <s v="CUST0154"/>
    <n v="5862.1"/>
  </r>
  <r>
    <n v="1400"/>
    <d v="2024-08-08T00:00:00"/>
    <s v="Headphones"/>
    <s v="Accessories"/>
    <n v="911.61"/>
    <n v="1"/>
    <n v="0.27"/>
    <n v="0.25"/>
    <x v="2"/>
    <s v="CUST0076"/>
    <n v="911.61"/>
  </r>
  <r>
    <n v="1401"/>
    <d v="2024-07-04T00:00:00"/>
    <s v="Headphones"/>
    <s v="Accessories"/>
    <n v="434.35"/>
    <n v="4"/>
    <n v="0.06"/>
    <n v="0.27"/>
    <x v="1"/>
    <s v="CUST0030"/>
    <n v="1737.4"/>
  </r>
  <r>
    <n v="1402"/>
    <d v="2024-05-20T00:00:00"/>
    <s v="Headphones"/>
    <s v="Accessories"/>
    <n v="980.39"/>
    <n v="2"/>
    <n v="0.21"/>
    <n v="0.31"/>
    <x v="2"/>
    <s v="CUST0120"/>
    <n v="1960.78"/>
  </r>
  <r>
    <n v="1403"/>
    <d v="2024-08-20T00:00:00"/>
    <s v="Headphones"/>
    <s v="Accessories"/>
    <n v="829.98"/>
    <n v="1"/>
    <n v="0.13"/>
    <n v="0.23"/>
    <x v="2"/>
    <s v="CUST0180"/>
    <n v="829.98"/>
  </r>
  <r>
    <n v="1404"/>
    <d v="2024-08-04T00:00:00"/>
    <s v="Laptop"/>
    <s v="Electronics"/>
    <n v="627.83000000000004"/>
    <n v="4"/>
    <n v="0.26"/>
    <n v="0.17"/>
    <x v="0"/>
    <s v="CUST0270"/>
    <n v="2511.3200000000002"/>
  </r>
  <r>
    <n v="1405"/>
    <d v="2024-11-07T00:00:00"/>
    <s v="Mouse"/>
    <s v="Accessories"/>
    <n v="1082.8399999999999"/>
    <n v="4"/>
    <n v="0.15"/>
    <n v="0.17"/>
    <x v="1"/>
    <s v="CUST0203"/>
    <n v="4331.3599999999997"/>
  </r>
  <r>
    <n v="1406"/>
    <d v="2024-10-17T00:00:00"/>
    <s v="Headphones"/>
    <s v="Accessories"/>
    <n v="273.14999999999998"/>
    <n v="4"/>
    <n v="0.27"/>
    <n v="0.3"/>
    <x v="0"/>
    <s v="CUST0227"/>
    <n v="1092.5999999999999"/>
  </r>
  <r>
    <n v="1407"/>
    <d v="2024-05-14T00:00:00"/>
    <s v="Tablet"/>
    <s v="Electronics"/>
    <n v="976.73"/>
    <n v="3"/>
    <n v="0.24"/>
    <n v="0.35"/>
    <x v="3"/>
    <s v="CUST0076"/>
    <n v="2930.19"/>
  </r>
  <r>
    <n v="1408"/>
    <d v="2024-07-10T00:00:00"/>
    <s v="Laptop"/>
    <s v="Electronics"/>
    <n v="428.66"/>
    <n v="3"/>
    <n v="0.21"/>
    <n v="0.18"/>
    <x v="0"/>
    <s v="CUST0184"/>
    <n v="1285.98"/>
  </r>
  <r>
    <n v="1409"/>
    <d v="2024-08-18T00:00:00"/>
    <s v="Mouse"/>
    <s v="Accessories"/>
    <n v="35.85"/>
    <n v="4"/>
    <n v="0"/>
    <n v="0.14000000000000001"/>
    <x v="3"/>
    <s v="CUST0252"/>
    <n v="143.4"/>
  </r>
  <r>
    <n v="1410"/>
    <d v="2024-11-28T00:00:00"/>
    <s v="Monitor"/>
    <s v="Electronics"/>
    <n v="1383.14"/>
    <n v="2"/>
    <n v="0.16"/>
    <n v="0.24"/>
    <x v="3"/>
    <s v="CUST0243"/>
    <n v="2766.28"/>
  </r>
  <r>
    <n v="1411"/>
    <d v="2024-05-09T00:00:00"/>
    <s v="Keyboard"/>
    <s v="Accessories"/>
    <n v="1018.57"/>
    <n v="4"/>
    <n v="0.25"/>
    <n v="0.37"/>
    <x v="0"/>
    <s v="CUST0192"/>
    <n v="4074.28"/>
  </r>
  <r>
    <n v="1412"/>
    <d v="2024-05-22T00:00:00"/>
    <s v="Keyboard"/>
    <s v="Accessories"/>
    <n v="717.96"/>
    <n v="5"/>
    <n v="0.08"/>
    <n v="0.34"/>
    <x v="0"/>
    <s v="CUST0206"/>
    <n v="3589.8"/>
  </r>
  <r>
    <n v="1413"/>
    <d v="2024-07-19T00:00:00"/>
    <s v="Tablet"/>
    <s v="Electronics"/>
    <n v="267.3"/>
    <n v="1"/>
    <n v="0.25"/>
    <n v="0.3"/>
    <x v="3"/>
    <s v="CUST0179"/>
    <n v="267.3"/>
  </r>
  <r>
    <n v="1414"/>
    <d v="2024-04-18T00:00:00"/>
    <s v="Monitor"/>
    <s v="Electronics"/>
    <n v="309.22000000000003"/>
    <n v="3"/>
    <n v="0.16"/>
    <n v="0.32"/>
    <x v="3"/>
    <s v="CUST0275"/>
    <n v="927.66000000000008"/>
  </r>
  <r>
    <n v="1415"/>
    <d v="2024-06-04T00:00:00"/>
    <s v="Mouse"/>
    <s v="Accessories"/>
    <n v="1245.73"/>
    <n v="2"/>
    <n v="0.27"/>
    <n v="0.28000000000000003"/>
    <x v="0"/>
    <s v="CUST0093"/>
    <n v="2491.46"/>
  </r>
  <r>
    <n v="1416"/>
    <d v="2024-03-07T00:00:00"/>
    <s v="Monitor"/>
    <s v="Electronics"/>
    <n v="1043"/>
    <n v="3"/>
    <n v="7.0000000000000007E-2"/>
    <n v="0.24"/>
    <x v="2"/>
    <s v="CUST0032"/>
    <n v="3129"/>
  </r>
  <r>
    <n v="1417"/>
    <d v="2024-02-21T00:00:00"/>
    <s v="Keyboard"/>
    <s v="Accessories"/>
    <n v="1487.95"/>
    <n v="5"/>
    <n v="0.25"/>
    <n v="0.23"/>
    <x v="1"/>
    <s v="CUST0239"/>
    <n v="7439.75"/>
  </r>
  <r>
    <n v="1418"/>
    <d v="2024-06-03T00:00:00"/>
    <s v="Monitor"/>
    <s v="Electronics"/>
    <n v="1131.49"/>
    <n v="1"/>
    <n v="0.3"/>
    <n v="0.18"/>
    <x v="1"/>
    <s v="CUST0035"/>
    <n v="1131.49"/>
  </r>
  <r>
    <n v="1419"/>
    <d v="2024-05-02T00:00:00"/>
    <s v="Headphones"/>
    <s v="Accessories"/>
    <n v="511.06"/>
    <n v="4"/>
    <n v="0.26"/>
    <n v="0.31"/>
    <x v="1"/>
    <s v="CUST0250"/>
    <n v="2044.24"/>
  </r>
  <r>
    <n v="1420"/>
    <d v="2024-01-19T00:00:00"/>
    <s v="Tablet"/>
    <s v="Electronics"/>
    <n v="1199.52"/>
    <n v="2"/>
    <n v="0.26"/>
    <n v="0.12"/>
    <x v="0"/>
    <s v="CUST0233"/>
    <n v="2399.04"/>
  </r>
  <r>
    <n v="1421"/>
    <d v="2024-10-26T00:00:00"/>
    <s v="Headphones"/>
    <s v="Accessories"/>
    <n v="796"/>
    <n v="5"/>
    <n v="0.09"/>
    <n v="0.32"/>
    <x v="2"/>
    <s v="CUST0156"/>
    <n v="3980"/>
  </r>
  <r>
    <n v="1422"/>
    <d v="2024-06-24T00:00:00"/>
    <s v="Keyboard"/>
    <s v="Accessories"/>
    <n v="327.7"/>
    <n v="1"/>
    <n v="0.04"/>
    <n v="0.19"/>
    <x v="1"/>
    <s v="CUST0064"/>
    <n v="327.7"/>
  </r>
  <r>
    <n v="1423"/>
    <d v="2024-01-06T00:00:00"/>
    <s v="Mouse"/>
    <s v="Accessories"/>
    <n v="593.69000000000005"/>
    <n v="1"/>
    <n v="0.22"/>
    <n v="0.34"/>
    <x v="3"/>
    <s v="CUST0242"/>
    <n v="593.69000000000005"/>
  </r>
  <r>
    <n v="1424"/>
    <d v="2024-06-30T00:00:00"/>
    <s v="Monitor"/>
    <s v="Electronics"/>
    <n v="1482.85"/>
    <n v="3"/>
    <n v="0.04"/>
    <n v="0.2"/>
    <x v="1"/>
    <s v="CUST0275"/>
    <n v="4448.5499999999993"/>
  </r>
  <r>
    <n v="1425"/>
    <d v="2024-04-05T00:00:00"/>
    <s v="Laptop"/>
    <s v="Electronics"/>
    <n v="176.79"/>
    <n v="5"/>
    <n v="0.28000000000000003"/>
    <n v="0.33"/>
    <x v="2"/>
    <s v="CUST0036"/>
    <n v="883.94999999999993"/>
  </r>
  <r>
    <n v="1426"/>
    <d v="2024-07-02T00:00:00"/>
    <s v="Monitor"/>
    <s v="Electronics"/>
    <n v="752.02"/>
    <n v="4"/>
    <n v="0.22"/>
    <n v="0.38"/>
    <x v="1"/>
    <s v="CUST0208"/>
    <n v="3008.08"/>
  </r>
  <r>
    <n v="1427"/>
    <d v="2024-05-12T00:00:00"/>
    <s v="Monitor"/>
    <s v="Electronics"/>
    <n v="748.95"/>
    <n v="5"/>
    <n v="0.23"/>
    <n v="0.27"/>
    <x v="1"/>
    <s v="CUST0066"/>
    <n v="3744.75"/>
  </r>
  <r>
    <n v="1428"/>
    <d v="2024-02-15T00:00:00"/>
    <s v="Tablet"/>
    <s v="Electronics"/>
    <n v="583.54"/>
    <n v="2"/>
    <n v="0.04"/>
    <n v="0.26"/>
    <x v="1"/>
    <s v="CUST0101"/>
    <n v="1167.08"/>
  </r>
  <r>
    <n v="1429"/>
    <d v="2024-10-19T00:00:00"/>
    <s v="Tablet"/>
    <s v="Electronics"/>
    <n v="1077.6400000000001"/>
    <n v="3"/>
    <n v="0.2"/>
    <n v="0.16"/>
    <x v="2"/>
    <s v="CUST0045"/>
    <n v="3232.92"/>
  </r>
  <r>
    <n v="1430"/>
    <d v="2024-05-02T00:00:00"/>
    <s v="Tablet"/>
    <s v="Electronics"/>
    <n v="820.31"/>
    <n v="3"/>
    <n v="0.19"/>
    <n v="0.23"/>
    <x v="3"/>
    <s v="CUST0300"/>
    <n v="2460.9299999999998"/>
  </r>
  <r>
    <n v="1431"/>
    <d v="2024-11-13T00:00:00"/>
    <s v="Tablet"/>
    <s v="Electronics"/>
    <n v="838.74"/>
    <n v="2"/>
    <n v="0.01"/>
    <n v="0.13"/>
    <x v="2"/>
    <s v="CUST0042"/>
    <n v="1677.48"/>
  </r>
  <r>
    <n v="1432"/>
    <d v="2024-07-30T00:00:00"/>
    <s v="Monitor"/>
    <s v="Electronics"/>
    <n v="761.28"/>
    <n v="1"/>
    <n v="0.22"/>
    <n v="0.17"/>
    <x v="0"/>
    <s v="CUST0088"/>
    <n v="761.28"/>
  </r>
  <r>
    <n v="1433"/>
    <d v="2024-11-10T00:00:00"/>
    <s v="Tablet"/>
    <s v="Electronics"/>
    <n v="537.25"/>
    <n v="4"/>
    <n v="0.21"/>
    <n v="0.36"/>
    <x v="1"/>
    <s v="CUST0148"/>
    <n v="2149"/>
  </r>
  <r>
    <n v="1434"/>
    <d v="2024-08-06T00:00:00"/>
    <s v="Mouse"/>
    <s v="Accessories"/>
    <n v="420.37"/>
    <n v="4"/>
    <n v="0.21"/>
    <n v="0.36"/>
    <x v="1"/>
    <s v="CUST0183"/>
    <n v="1681.48"/>
  </r>
  <r>
    <n v="1435"/>
    <d v="2024-06-08T00:00:00"/>
    <s v="Tablet"/>
    <s v="Electronics"/>
    <n v="129.06"/>
    <n v="3"/>
    <n v="0.28000000000000003"/>
    <n v="0.32"/>
    <x v="2"/>
    <s v="CUST0188"/>
    <n v="387.18"/>
  </r>
  <r>
    <n v="1436"/>
    <d v="2024-12-22T00:00:00"/>
    <s v="Monitor"/>
    <s v="Electronics"/>
    <n v="1240.25"/>
    <n v="3"/>
    <n v="0.16"/>
    <n v="0.28999999999999998"/>
    <x v="0"/>
    <s v="CUST0152"/>
    <n v="3720.75"/>
  </r>
  <r>
    <n v="1437"/>
    <d v="2024-03-22T00:00:00"/>
    <s v="Monitor"/>
    <s v="Electronics"/>
    <n v="942.46"/>
    <n v="4"/>
    <n v="0.04"/>
    <n v="0.28000000000000003"/>
    <x v="1"/>
    <s v="CUST0248"/>
    <n v="3769.84"/>
  </r>
  <r>
    <n v="1438"/>
    <d v="2024-08-27T00:00:00"/>
    <s v="Tablet"/>
    <s v="Electronics"/>
    <n v="555.69000000000005"/>
    <n v="3"/>
    <n v="0.28999999999999998"/>
    <n v="0.13"/>
    <x v="2"/>
    <s v="CUST0174"/>
    <n v="1667.0700000000002"/>
  </r>
  <r>
    <n v="1439"/>
    <d v="2024-08-24T00:00:00"/>
    <s v="Mouse"/>
    <s v="Accessories"/>
    <n v="1426.99"/>
    <n v="3"/>
    <n v="0.13"/>
    <n v="0.31"/>
    <x v="1"/>
    <s v="CUST0189"/>
    <n v="4280.97"/>
  </r>
  <r>
    <n v="1440"/>
    <d v="2024-04-25T00:00:00"/>
    <s v="Monitor"/>
    <s v="Electronics"/>
    <n v="465.92"/>
    <n v="1"/>
    <n v="0.12"/>
    <n v="0.23"/>
    <x v="3"/>
    <s v="CUST0187"/>
    <n v="465.92"/>
  </r>
  <r>
    <n v="1441"/>
    <d v="2024-04-02T00:00:00"/>
    <s v="Mouse"/>
    <s v="Accessories"/>
    <n v="573.46"/>
    <n v="1"/>
    <n v="0.04"/>
    <n v="0.26"/>
    <x v="1"/>
    <s v="CUST0242"/>
    <n v="573.46"/>
  </r>
  <r>
    <n v="1442"/>
    <d v="2024-11-24T00:00:00"/>
    <s v="Headphones"/>
    <s v="Accessories"/>
    <n v="321.73"/>
    <n v="1"/>
    <n v="0.3"/>
    <n v="0.35"/>
    <x v="3"/>
    <s v="CUST0163"/>
    <n v="321.73"/>
  </r>
  <r>
    <n v="1443"/>
    <d v="2024-01-23T00:00:00"/>
    <s v="Laptop"/>
    <s v="Electronics"/>
    <n v="150.03"/>
    <n v="4"/>
    <n v="0.23"/>
    <n v="0.37"/>
    <x v="0"/>
    <s v="CUST0005"/>
    <n v="600.12"/>
  </r>
  <r>
    <n v="1444"/>
    <d v="2024-10-16T00:00:00"/>
    <s v="Laptop"/>
    <s v="Electronics"/>
    <n v="539.58000000000004"/>
    <n v="5"/>
    <n v="0.02"/>
    <n v="0.33"/>
    <x v="1"/>
    <s v="CUST0144"/>
    <n v="2697.9"/>
  </r>
  <r>
    <n v="1445"/>
    <d v="2024-12-24T00:00:00"/>
    <s v="Mouse"/>
    <s v="Accessories"/>
    <n v="1203.6500000000001"/>
    <n v="5"/>
    <n v="7.0000000000000007E-2"/>
    <n v="0.35"/>
    <x v="0"/>
    <s v="CUST0213"/>
    <n v="6018.25"/>
  </r>
  <r>
    <n v="1446"/>
    <d v="2024-01-29T00:00:00"/>
    <s v="Mouse"/>
    <s v="Accessories"/>
    <n v="1471.62"/>
    <n v="3"/>
    <n v="0.22"/>
    <n v="0.28999999999999998"/>
    <x v="3"/>
    <s v="CUST0298"/>
    <n v="4414.8599999999997"/>
  </r>
  <r>
    <n v="1447"/>
    <d v="2024-05-03T00:00:00"/>
    <s v="Monitor"/>
    <s v="Electronics"/>
    <n v="1194"/>
    <n v="5"/>
    <n v="0.27"/>
    <n v="0.32"/>
    <x v="0"/>
    <s v="CUST0090"/>
    <n v="5970"/>
  </r>
  <r>
    <n v="1448"/>
    <d v="2024-07-21T00:00:00"/>
    <s v="Laptop"/>
    <s v="Electronics"/>
    <n v="1256.98"/>
    <n v="5"/>
    <n v="0.26"/>
    <n v="0.17"/>
    <x v="0"/>
    <s v="CUST0043"/>
    <n v="6284.9"/>
  </r>
  <r>
    <n v="1449"/>
    <d v="2024-11-21T00:00:00"/>
    <s v="Headphones"/>
    <s v="Accessories"/>
    <n v="1391.13"/>
    <n v="5"/>
    <n v="7.0000000000000007E-2"/>
    <n v="0.38"/>
    <x v="1"/>
    <s v="CUST0187"/>
    <n v="6955.6500000000005"/>
  </r>
  <r>
    <n v="1450"/>
    <d v="2024-07-04T00:00:00"/>
    <s v="Keyboard"/>
    <s v="Accessories"/>
    <n v="762.03"/>
    <n v="3"/>
    <n v="0.14000000000000001"/>
    <n v="0.28000000000000003"/>
    <x v="0"/>
    <s v="CUST0138"/>
    <n v="2286.09"/>
  </r>
  <r>
    <n v="1451"/>
    <d v="2024-06-01T00:00:00"/>
    <s v="Laptop"/>
    <s v="Electronics"/>
    <n v="1456.57"/>
    <n v="1"/>
    <n v="0.28999999999999998"/>
    <n v="0.18"/>
    <x v="2"/>
    <s v="CUST0266"/>
    <n v="1456.57"/>
  </r>
  <r>
    <n v="1452"/>
    <d v="2024-04-01T00:00:00"/>
    <s v="Monitor"/>
    <s v="Electronics"/>
    <n v="1052.1300000000001"/>
    <n v="1"/>
    <n v="0.15"/>
    <n v="0.14000000000000001"/>
    <x v="0"/>
    <s v="CUST0218"/>
    <n v="1052.1300000000001"/>
  </r>
  <r>
    <n v="1453"/>
    <d v="2024-02-21T00:00:00"/>
    <s v="Monitor"/>
    <s v="Electronics"/>
    <n v="1131.6500000000001"/>
    <n v="1"/>
    <n v="0.16"/>
    <n v="0.28000000000000003"/>
    <x v="2"/>
    <s v="CUST0222"/>
    <n v="1131.6500000000001"/>
  </r>
  <r>
    <n v="1454"/>
    <d v="2024-04-02T00:00:00"/>
    <s v="Headphones"/>
    <s v="Accessories"/>
    <n v="406.59"/>
    <n v="1"/>
    <n v="0.21"/>
    <n v="0.21"/>
    <x v="1"/>
    <s v="CUST0035"/>
    <n v="406.59"/>
  </r>
  <r>
    <n v="1455"/>
    <d v="2024-06-01T00:00:00"/>
    <s v="Headphones"/>
    <s v="Accessories"/>
    <n v="442.75"/>
    <n v="2"/>
    <n v="7.0000000000000007E-2"/>
    <n v="0.2"/>
    <x v="3"/>
    <s v="CUST0031"/>
    <n v="885.5"/>
  </r>
  <r>
    <n v="1456"/>
    <d v="2024-05-28T00:00:00"/>
    <s v="Headphones"/>
    <s v="Accessories"/>
    <n v="619.96"/>
    <n v="5"/>
    <n v="0.06"/>
    <n v="0.35"/>
    <x v="3"/>
    <s v="CUST0131"/>
    <n v="3099.8"/>
  </r>
  <r>
    <n v="1457"/>
    <d v="2024-06-15T00:00:00"/>
    <s v="Monitor"/>
    <s v="Electronics"/>
    <n v="851.17"/>
    <n v="5"/>
    <n v="0.1"/>
    <n v="0.32"/>
    <x v="1"/>
    <s v="CUST0270"/>
    <n v="4255.8499999999995"/>
  </r>
  <r>
    <n v="1458"/>
    <d v="2024-08-25T00:00:00"/>
    <s v="Monitor"/>
    <s v="Electronics"/>
    <n v="33.65"/>
    <n v="4"/>
    <n v="0.19"/>
    <n v="0.39"/>
    <x v="0"/>
    <s v="CUST0136"/>
    <n v="134.6"/>
  </r>
  <r>
    <n v="1459"/>
    <d v="2024-10-01T00:00:00"/>
    <s v="Monitor"/>
    <s v="Electronics"/>
    <n v="1382.06"/>
    <n v="4"/>
    <n v="0.11"/>
    <n v="0.38"/>
    <x v="0"/>
    <s v="CUST0052"/>
    <n v="5528.24"/>
  </r>
  <r>
    <n v="1460"/>
    <d v="2024-04-22T00:00:00"/>
    <s v="Keyboard"/>
    <s v="Accessories"/>
    <n v="1414.31"/>
    <n v="4"/>
    <n v="0.15"/>
    <n v="0.23"/>
    <x v="0"/>
    <s v="CUST0127"/>
    <n v="5657.24"/>
  </r>
  <r>
    <n v="1461"/>
    <d v="2024-11-29T00:00:00"/>
    <s v="Headphones"/>
    <s v="Accessories"/>
    <n v="719.28"/>
    <n v="1"/>
    <n v="0.09"/>
    <n v="0.17"/>
    <x v="1"/>
    <s v="CUST0137"/>
    <n v="719.28"/>
  </r>
  <r>
    <n v="1462"/>
    <d v="2024-02-17T00:00:00"/>
    <s v="Tablet"/>
    <s v="Electronics"/>
    <n v="469.95"/>
    <n v="3"/>
    <n v="0.26"/>
    <n v="0.32"/>
    <x v="3"/>
    <s v="CUST0155"/>
    <n v="1409.85"/>
  </r>
  <r>
    <n v="1463"/>
    <d v="2024-10-22T00:00:00"/>
    <s v="Headphones"/>
    <s v="Accessories"/>
    <n v="1365.87"/>
    <n v="4"/>
    <n v="0.08"/>
    <n v="0.38"/>
    <x v="3"/>
    <s v="CUST0015"/>
    <n v="5463.48"/>
  </r>
  <r>
    <n v="1464"/>
    <d v="2024-07-03T00:00:00"/>
    <s v="Mouse"/>
    <s v="Accessories"/>
    <n v="811.88"/>
    <n v="1"/>
    <n v="0.28000000000000003"/>
    <n v="0.16"/>
    <x v="0"/>
    <s v="CUST0298"/>
    <n v="811.88"/>
  </r>
  <r>
    <n v="1465"/>
    <d v="2024-12-21T00:00:00"/>
    <s v="Mouse"/>
    <s v="Accessories"/>
    <n v="796.85"/>
    <n v="2"/>
    <n v="0.08"/>
    <n v="0.35"/>
    <x v="1"/>
    <s v="CUST0289"/>
    <n v="1593.7"/>
  </r>
  <r>
    <n v="1466"/>
    <d v="2024-09-05T00:00:00"/>
    <s v="Headphones"/>
    <s v="Accessories"/>
    <n v="1406.44"/>
    <n v="3"/>
    <n v="0.06"/>
    <n v="0.13"/>
    <x v="0"/>
    <s v="CUST0182"/>
    <n v="4219.32"/>
  </r>
  <r>
    <n v="1467"/>
    <d v="2024-03-28T00:00:00"/>
    <s v="Headphones"/>
    <s v="Accessories"/>
    <n v="390.52"/>
    <n v="1"/>
    <n v="0.03"/>
    <n v="0.32"/>
    <x v="0"/>
    <s v="CUST0061"/>
    <n v="390.52"/>
  </r>
  <r>
    <n v="1468"/>
    <d v="2024-12-23T00:00:00"/>
    <s v="Headphones"/>
    <s v="Accessories"/>
    <n v="895.5"/>
    <n v="2"/>
    <n v="0.06"/>
    <n v="0.19"/>
    <x v="1"/>
    <s v="CUST0066"/>
    <n v="1791"/>
  </r>
  <r>
    <n v="1469"/>
    <d v="2024-02-05T00:00:00"/>
    <s v="Laptop"/>
    <s v="Electronics"/>
    <n v="624.39"/>
    <n v="3"/>
    <n v="0.16"/>
    <n v="0.35"/>
    <x v="1"/>
    <s v="CUST0043"/>
    <n v="1873.17"/>
  </r>
  <r>
    <n v="1470"/>
    <d v="2024-05-18T00:00:00"/>
    <s v="Keyboard"/>
    <s v="Accessories"/>
    <n v="446.62"/>
    <n v="3"/>
    <n v="0.1"/>
    <n v="0.32"/>
    <x v="2"/>
    <s v="CUST0015"/>
    <n v="1339.8600000000001"/>
  </r>
  <r>
    <n v="1471"/>
    <d v="2024-07-02T00:00:00"/>
    <s v="Tablet"/>
    <s v="Electronics"/>
    <n v="1231.24"/>
    <n v="1"/>
    <n v="0.28000000000000003"/>
    <n v="0.38"/>
    <x v="0"/>
    <s v="CUST0083"/>
    <n v="1231.24"/>
  </r>
  <r>
    <n v="1472"/>
    <d v="2024-08-17T00:00:00"/>
    <s v="Headphones"/>
    <s v="Accessories"/>
    <n v="523.54999999999995"/>
    <n v="5"/>
    <n v="0.03"/>
    <n v="0.23"/>
    <x v="2"/>
    <s v="CUST0143"/>
    <n v="2617.75"/>
  </r>
  <r>
    <n v="1473"/>
    <d v="2024-11-14T00:00:00"/>
    <s v="Tablet"/>
    <s v="Electronics"/>
    <n v="359.43"/>
    <n v="3"/>
    <n v="0.15"/>
    <n v="0.37"/>
    <x v="0"/>
    <s v="CUST0118"/>
    <n v="1078.29"/>
  </r>
  <r>
    <n v="1474"/>
    <d v="2024-10-29T00:00:00"/>
    <s v="Monitor"/>
    <s v="Electronics"/>
    <n v="758.86"/>
    <n v="5"/>
    <n v="0.27"/>
    <n v="0.37"/>
    <x v="1"/>
    <s v="CUST0251"/>
    <n v="3794.3"/>
  </r>
  <r>
    <n v="1475"/>
    <d v="2024-04-14T00:00:00"/>
    <s v="Laptop"/>
    <s v="Electronics"/>
    <n v="1341.05"/>
    <n v="2"/>
    <n v="0.03"/>
    <n v="0.36"/>
    <x v="0"/>
    <s v="CUST0157"/>
    <n v="2682.1"/>
  </r>
  <r>
    <n v="1476"/>
    <d v="2024-04-03T00:00:00"/>
    <s v="Keyboard"/>
    <s v="Accessories"/>
    <n v="288.04000000000002"/>
    <n v="4"/>
    <n v="0.13"/>
    <n v="0.18"/>
    <x v="0"/>
    <s v="CUST0282"/>
    <n v="1152.1600000000001"/>
  </r>
  <r>
    <n v="1477"/>
    <d v="2024-07-31T00:00:00"/>
    <s v="Monitor"/>
    <s v="Electronics"/>
    <n v="224.09"/>
    <n v="3"/>
    <n v="0.17"/>
    <n v="0.21"/>
    <x v="2"/>
    <s v="CUST0261"/>
    <n v="672.27"/>
  </r>
  <r>
    <n v="1478"/>
    <d v="2024-10-04T00:00:00"/>
    <s v="Monitor"/>
    <s v="Electronics"/>
    <n v="1126.02"/>
    <n v="5"/>
    <n v="0.23"/>
    <n v="0.2"/>
    <x v="3"/>
    <s v="CUST0227"/>
    <n v="5630.1"/>
  </r>
  <r>
    <n v="1479"/>
    <d v="2024-09-26T00:00:00"/>
    <s v="Laptop"/>
    <s v="Electronics"/>
    <n v="606.96"/>
    <n v="1"/>
    <n v="0.04"/>
    <n v="0.2"/>
    <x v="1"/>
    <s v="CUST0278"/>
    <n v="606.96"/>
  </r>
  <r>
    <n v="1480"/>
    <d v="2024-07-26T00:00:00"/>
    <s v="Keyboard"/>
    <s v="Accessories"/>
    <n v="1313.13"/>
    <n v="3"/>
    <n v="0.02"/>
    <n v="0.14000000000000001"/>
    <x v="0"/>
    <s v="CUST0147"/>
    <n v="3939.3900000000003"/>
  </r>
  <r>
    <n v="1481"/>
    <d v="2024-11-16T00:00:00"/>
    <s v="Headphones"/>
    <s v="Accessories"/>
    <n v="959.83"/>
    <n v="2"/>
    <n v="0.01"/>
    <n v="0.18"/>
    <x v="0"/>
    <s v="CUST0089"/>
    <n v="1919.66"/>
  </r>
  <r>
    <n v="1482"/>
    <d v="2024-12-02T00:00:00"/>
    <s v="Tablet"/>
    <s v="Electronics"/>
    <n v="368.95"/>
    <n v="3"/>
    <n v="0.01"/>
    <n v="0.26"/>
    <x v="3"/>
    <s v="CUST0286"/>
    <n v="1106.8499999999999"/>
  </r>
  <r>
    <n v="1483"/>
    <d v="2024-05-17T00:00:00"/>
    <s v="Monitor"/>
    <s v="Electronics"/>
    <n v="48.78"/>
    <n v="2"/>
    <n v="0.11"/>
    <n v="0.26"/>
    <x v="3"/>
    <s v="CUST0047"/>
    <n v="97.56"/>
  </r>
  <r>
    <n v="1484"/>
    <d v="2024-10-14T00:00:00"/>
    <s v="Keyboard"/>
    <s v="Accessories"/>
    <n v="1190.44"/>
    <n v="4"/>
    <n v="0.2"/>
    <n v="0.34"/>
    <x v="1"/>
    <s v="CUST0283"/>
    <n v="4761.76"/>
  </r>
  <r>
    <n v="1485"/>
    <d v="2024-05-01T00:00:00"/>
    <s v="Tablet"/>
    <s v="Electronics"/>
    <n v="736.38"/>
    <n v="2"/>
    <n v="0.2"/>
    <n v="0.21"/>
    <x v="0"/>
    <s v="CUST0222"/>
    <n v="1472.76"/>
  </r>
  <r>
    <n v="1486"/>
    <d v="2024-11-03T00:00:00"/>
    <s v="Headphones"/>
    <s v="Accessories"/>
    <n v="589.16"/>
    <n v="1"/>
    <n v="0.17"/>
    <n v="0.32"/>
    <x v="1"/>
    <s v="CUST0290"/>
    <n v="589.16"/>
  </r>
  <r>
    <n v="1487"/>
    <d v="2024-12-05T00:00:00"/>
    <s v="Headphones"/>
    <s v="Accessories"/>
    <n v="360.13"/>
    <n v="2"/>
    <n v="0.26"/>
    <n v="0.34"/>
    <x v="1"/>
    <s v="CUST0072"/>
    <n v="720.26"/>
  </r>
  <r>
    <n v="1488"/>
    <d v="2024-04-14T00:00:00"/>
    <s v="Mouse"/>
    <s v="Accessories"/>
    <n v="829"/>
    <n v="4"/>
    <n v="7.0000000000000007E-2"/>
    <n v="0.2"/>
    <x v="2"/>
    <s v="CUST0114"/>
    <n v="3316"/>
  </r>
  <r>
    <n v="1489"/>
    <d v="2024-07-19T00:00:00"/>
    <s v="Laptop"/>
    <s v="Electronics"/>
    <n v="672.03"/>
    <n v="2"/>
    <n v="0.25"/>
    <n v="0.36"/>
    <x v="2"/>
    <s v="CUST0238"/>
    <n v="1344.06"/>
  </r>
  <r>
    <n v="1490"/>
    <d v="2024-07-29T00:00:00"/>
    <s v="Laptop"/>
    <s v="Electronics"/>
    <n v="252.1"/>
    <n v="5"/>
    <n v="0.18"/>
    <n v="0.37"/>
    <x v="1"/>
    <s v="CUST0027"/>
    <n v="1260.5"/>
  </r>
  <r>
    <n v="1491"/>
    <d v="2024-03-02T00:00:00"/>
    <s v="Monitor"/>
    <s v="Electronics"/>
    <n v="1124.96"/>
    <n v="5"/>
    <n v="0.18"/>
    <n v="0.13"/>
    <x v="3"/>
    <s v="CUST0260"/>
    <n v="5624.8"/>
  </r>
  <r>
    <n v="1492"/>
    <d v="2024-01-20T00:00:00"/>
    <s v="Monitor"/>
    <s v="Electronics"/>
    <n v="50.5"/>
    <n v="5"/>
    <n v="0.28999999999999998"/>
    <n v="0.34"/>
    <x v="0"/>
    <s v="CUST0170"/>
    <n v="252.5"/>
  </r>
  <r>
    <n v="1493"/>
    <d v="2024-05-11T00:00:00"/>
    <s v="Mouse"/>
    <s v="Accessories"/>
    <n v="31.06"/>
    <n v="3"/>
    <n v="0.28000000000000003"/>
    <n v="0.2"/>
    <x v="1"/>
    <s v="CUST0248"/>
    <n v="93.179999999999993"/>
  </r>
  <r>
    <n v="1494"/>
    <d v="2024-12-09T00:00:00"/>
    <s v="Keyboard"/>
    <s v="Accessories"/>
    <n v="1005.06"/>
    <n v="5"/>
    <n v="0.28000000000000003"/>
    <n v="0.1"/>
    <x v="1"/>
    <s v="CUST0211"/>
    <n v="5025.2999999999993"/>
  </r>
  <r>
    <n v="1495"/>
    <d v="2024-02-04T00:00:00"/>
    <s v="Headphones"/>
    <s v="Accessories"/>
    <n v="1409.21"/>
    <n v="1"/>
    <n v="0.23"/>
    <n v="0.34"/>
    <x v="0"/>
    <s v="CUST0074"/>
    <n v="1409.21"/>
  </r>
  <r>
    <n v="1496"/>
    <d v="2024-07-06T00:00:00"/>
    <s v="Mouse"/>
    <s v="Accessories"/>
    <n v="1296.22"/>
    <n v="5"/>
    <n v="0.22"/>
    <n v="0.36"/>
    <x v="1"/>
    <s v="CUST0220"/>
    <n v="6481.1"/>
  </r>
  <r>
    <n v="1497"/>
    <d v="2024-11-15T00:00:00"/>
    <s v="Headphones"/>
    <s v="Accessories"/>
    <n v="1127.71"/>
    <n v="3"/>
    <n v="0.12"/>
    <n v="0.19"/>
    <x v="2"/>
    <s v="CUST0056"/>
    <n v="3383.13"/>
  </r>
  <r>
    <n v="1498"/>
    <d v="2024-06-10T00:00:00"/>
    <s v="Laptop"/>
    <s v="Electronics"/>
    <n v="473.85"/>
    <n v="4"/>
    <n v="0.13"/>
    <n v="0.35"/>
    <x v="3"/>
    <s v="CUST0150"/>
    <n v="1895.4"/>
  </r>
  <r>
    <n v="1499"/>
    <d v="2024-07-06T00:00:00"/>
    <s v="Monitor"/>
    <s v="Electronics"/>
    <n v="1498.83"/>
    <n v="4"/>
    <n v="0.02"/>
    <n v="0.28000000000000003"/>
    <x v="1"/>
    <s v="CUST0268"/>
    <n v="5995.3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500">
  <r>
    <n v="1"/>
    <x v="0"/>
    <x v="0"/>
    <s v="Electronics"/>
    <n v="577.45000000000005"/>
    <n v="5"/>
    <n v="0.06"/>
    <n v="0.33"/>
    <s v="North"/>
    <s v="CUST0283"/>
    <n v="2887.25"/>
  </r>
  <r>
    <n v="2"/>
    <x v="1"/>
    <x v="1"/>
    <s v="Accessories"/>
    <n v="255.13"/>
    <n v="3"/>
    <n v="0.03"/>
    <n v="0.24"/>
    <s v="South"/>
    <s v="CUST0101"/>
    <n v="765.39"/>
  </r>
  <r>
    <n v="3"/>
    <x v="2"/>
    <x v="1"/>
    <s v="Accessories"/>
    <n v="235.73"/>
    <n v="3"/>
    <n v="0.01"/>
    <n v="0.39"/>
    <s v="South"/>
    <s v="CUST0111"/>
    <n v="707.18999999999994"/>
  </r>
  <r>
    <n v="4"/>
    <x v="3"/>
    <x v="1"/>
    <s v="Accessories"/>
    <n v="26.15"/>
    <n v="4"/>
    <n v="0.06"/>
    <n v="0.19"/>
    <s v="North"/>
    <s v="CUST0170"/>
    <n v="104.6"/>
  </r>
  <r>
    <n v="5"/>
    <x v="4"/>
    <x v="2"/>
    <s v="Accessories"/>
    <n v="35.42"/>
    <n v="1"/>
    <n v="0.09"/>
    <n v="0.28000000000000003"/>
    <s v="West"/>
    <s v="CUST0227"/>
    <n v="35.42"/>
  </r>
  <r>
    <n v="6"/>
    <x v="5"/>
    <x v="3"/>
    <s v="Accessories"/>
    <n v="93.83"/>
    <n v="4"/>
    <n v="0.11"/>
    <n v="0.24"/>
    <s v="East"/>
    <s v="CUST0277"/>
    <n v="375.32"/>
  </r>
  <r>
    <n v="7"/>
    <x v="6"/>
    <x v="4"/>
    <s v="Electronics"/>
    <n v="937.12"/>
    <n v="4"/>
    <n v="0.15"/>
    <n v="0.28000000000000003"/>
    <s v="East"/>
    <s v="CUST0237"/>
    <n v="3748.48"/>
  </r>
  <r>
    <n v="8"/>
    <x v="7"/>
    <x v="0"/>
    <s v="Electronics"/>
    <n v="1293.4100000000001"/>
    <n v="5"/>
    <n v="0.14000000000000001"/>
    <n v="0.1"/>
    <s v="East"/>
    <s v="CUST0259"/>
    <n v="6467.05"/>
  </r>
  <r>
    <n v="9"/>
    <x v="8"/>
    <x v="0"/>
    <s v="Electronics"/>
    <n v="1449.31"/>
    <n v="2"/>
    <n v="0.12"/>
    <n v="0.1"/>
    <s v="South"/>
    <s v="CUST0015"/>
    <n v="2898.62"/>
  </r>
  <r>
    <n v="10"/>
    <x v="9"/>
    <x v="2"/>
    <s v="Accessories"/>
    <n v="380.51"/>
    <n v="4"/>
    <n v="0.04"/>
    <n v="0.25"/>
    <s v="East"/>
    <s v="CUST0082"/>
    <n v="1522.04"/>
  </r>
  <r>
    <n v="11"/>
    <x v="10"/>
    <x v="5"/>
    <s v="Electronics"/>
    <n v="1366.25"/>
    <n v="4"/>
    <n v="0.05"/>
    <n v="0.33"/>
    <s v="South"/>
    <s v="CUST0082"/>
    <n v="5465"/>
  </r>
  <r>
    <n v="12"/>
    <x v="11"/>
    <x v="4"/>
    <s v="Electronics"/>
    <n v="831.4"/>
    <n v="5"/>
    <n v="0.28999999999999998"/>
    <n v="0.33"/>
    <s v="West"/>
    <s v="CUST0149"/>
    <n v="4157"/>
  </r>
  <r>
    <n v="13"/>
    <x v="12"/>
    <x v="0"/>
    <s v="Electronics"/>
    <n v="607.85"/>
    <n v="4"/>
    <n v="0.18"/>
    <n v="0.38"/>
    <s v="South"/>
    <s v="CUST0014"/>
    <n v="2431.4"/>
  </r>
  <r>
    <n v="14"/>
    <x v="13"/>
    <x v="1"/>
    <s v="Accessories"/>
    <n v="793.23"/>
    <n v="5"/>
    <n v="0.12"/>
    <n v="0.18"/>
    <s v="North"/>
    <s v="CUST0077"/>
    <n v="3966.15"/>
  </r>
  <r>
    <n v="15"/>
    <x v="14"/>
    <x v="5"/>
    <s v="Electronics"/>
    <n v="890.46"/>
    <n v="1"/>
    <n v="0.08"/>
    <n v="0.26"/>
    <s v="West"/>
    <s v="CUST0190"/>
    <n v="890.46"/>
  </r>
  <r>
    <n v="16"/>
    <x v="15"/>
    <x v="2"/>
    <s v="Accessories"/>
    <n v="462"/>
    <n v="5"/>
    <n v="0.02"/>
    <n v="0.4"/>
    <s v="West"/>
    <s v="CUST0108"/>
    <n v="2310"/>
  </r>
  <r>
    <n v="17"/>
    <x v="16"/>
    <x v="0"/>
    <s v="Electronics"/>
    <n v="607.45000000000005"/>
    <n v="3"/>
    <n v="0.06"/>
    <n v="0.31"/>
    <s v="East"/>
    <s v="CUST0130"/>
    <n v="1822.3500000000001"/>
  </r>
  <r>
    <n v="18"/>
    <x v="17"/>
    <x v="4"/>
    <s v="Electronics"/>
    <n v="918.79"/>
    <n v="2"/>
    <n v="0.11"/>
    <n v="0.13"/>
    <s v="West"/>
    <s v="CUST0190"/>
    <n v="1837.58"/>
  </r>
  <r>
    <n v="19"/>
    <x v="18"/>
    <x v="3"/>
    <s v="Accessories"/>
    <n v="1278.81"/>
    <n v="4"/>
    <n v="0.1"/>
    <n v="0.12"/>
    <s v="East"/>
    <s v="CUST0269"/>
    <n v="5115.24"/>
  </r>
  <r>
    <n v="20"/>
    <x v="9"/>
    <x v="0"/>
    <s v="Electronics"/>
    <n v="504.65"/>
    <n v="3"/>
    <n v="0.18"/>
    <n v="0.18"/>
    <s v="South"/>
    <s v="CUST0010"/>
    <n v="1513.9499999999998"/>
  </r>
  <r>
    <n v="21"/>
    <x v="19"/>
    <x v="1"/>
    <s v="Accessories"/>
    <n v="721.52"/>
    <n v="5"/>
    <n v="0.28999999999999998"/>
    <n v="0.35"/>
    <s v="West"/>
    <s v="CUST0075"/>
    <n v="3607.6"/>
  </r>
  <r>
    <n v="22"/>
    <x v="20"/>
    <x v="2"/>
    <s v="Accessories"/>
    <n v="852.88"/>
    <n v="3"/>
    <n v="0.16"/>
    <n v="0.23"/>
    <s v="South"/>
    <s v="CUST0258"/>
    <n v="2558.64"/>
  </r>
  <r>
    <n v="23"/>
    <x v="21"/>
    <x v="5"/>
    <s v="Electronics"/>
    <n v="673.02"/>
    <n v="3"/>
    <n v="0.01"/>
    <n v="0.28999999999999998"/>
    <s v="West"/>
    <s v="CUST0057"/>
    <n v="2019.06"/>
  </r>
  <r>
    <n v="24"/>
    <x v="22"/>
    <x v="2"/>
    <s v="Accessories"/>
    <n v="855.83"/>
    <n v="4"/>
    <n v="0.27"/>
    <n v="0.17"/>
    <s v="South"/>
    <s v="CUST0127"/>
    <n v="3423.32"/>
  </r>
  <r>
    <n v="25"/>
    <x v="23"/>
    <x v="2"/>
    <s v="Accessories"/>
    <n v="821.27"/>
    <n v="5"/>
    <n v="7.0000000000000007E-2"/>
    <n v="0.12"/>
    <s v="East"/>
    <s v="CUST0043"/>
    <n v="4106.3500000000004"/>
  </r>
  <r>
    <n v="26"/>
    <x v="24"/>
    <x v="0"/>
    <s v="Electronics"/>
    <n v="1049.81"/>
    <n v="4"/>
    <n v="0.28000000000000003"/>
    <n v="0.34"/>
    <s v="South"/>
    <s v="CUST0228"/>
    <n v="4199.24"/>
  </r>
  <r>
    <n v="27"/>
    <x v="25"/>
    <x v="3"/>
    <s v="Accessories"/>
    <n v="698.39"/>
    <n v="4"/>
    <n v="0.06"/>
    <n v="0.37"/>
    <s v="North"/>
    <s v="CUST0004"/>
    <n v="2793.56"/>
  </r>
  <r>
    <n v="28"/>
    <x v="26"/>
    <x v="5"/>
    <s v="Electronics"/>
    <n v="503.41"/>
    <n v="4"/>
    <n v="0.11"/>
    <n v="0.37"/>
    <s v="South"/>
    <s v="CUST0294"/>
    <n v="2013.64"/>
  </r>
  <r>
    <n v="29"/>
    <x v="27"/>
    <x v="4"/>
    <s v="Electronics"/>
    <n v="654.98"/>
    <n v="4"/>
    <n v="0.11"/>
    <n v="0.19"/>
    <s v="South"/>
    <s v="CUST0181"/>
    <n v="2619.92"/>
  </r>
  <r>
    <n v="30"/>
    <x v="28"/>
    <x v="2"/>
    <s v="Accessories"/>
    <n v="778.35"/>
    <n v="1"/>
    <n v="0.15"/>
    <n v="0.31"/>
    <s v="North"/>
    <s v="CUST0007"/>
    <n v="778.35"/>
  </r>
  <r>
    <n v="31"/>
    <x v="29"/>
    <x v="0"/>
    <s v="Electronics"/>
    <n v="522.98"/>
    <n v="3"/>
    <n v="0.1"/>
    <n v="0.26"/>
    <s v="West"/>
    <s v="CUST0036"/>
    <n v="1568.94"/>
  </r>
  <r>
    <n v="32"/>
    <x v="30"/>
    <x v="5"/>
    <s v="Electronics"/>
    <n v="620.66"/>
    <n v="1"/>
    <n v="0.08"/>
    <n v="0.17"/>
    <s v="South"/>
    <s v="CUST0175"/>
    <n v="620.66"/>
  </r>
  <r>
    <n v="33"/>
    <x v="23"/>
    <x v="4"/>
    <s v="Electronics"/>
    <n v="758.44"/>
    <n v="1"/>
    <n v="0.04"/>
    <n v="0.4"/>
    <s v="South"/>
    <s v="CUST0026"/>
    <n v="758.44"/>
  </r>
  <r>
    <n v="34"/>
    <x v="31"/>
    <x v="4"/>
    <s v="Electronics"/>
    <n v="924.11"/>
    <n v="2"/>
    <n v="0.12"/>
    <n v="0.11"/>
    <s v="North"/>
    <s v="CUST0248"/>
    <n v="1848.22"/>
  </r>
  <r>
    <n v="35"/>
    <x v="32"/>
    <x v="1"/>
    <s v="Accessories"/>
    <n v="1364.69"/>
    <n v="3"/>
    <n v="0.2"/>
    <n v="0.26"/>
    <s v="East"/>
    <s v="CUST0184"/>
    <n v="4094.07"/>
  </r>
  <r>
    <n v="36"/>
    <x v="33"/>
    <x v="1"/>
    <s v="Accessories"/>
    <n v="1478.83"/>
    <n v="4"/>
    <n v="0.02"/>
    <n v="0.21"/>
    <s v="North"/>
    <s v="CUST0143"/>
    <n v="5915.32"/>
  </r>
  <r>
    <n v="37"/>
    <x v="34"/>
    <x v="4"/>
    <s v="Electronics"/>
    <n v="1209.6300000000001"/>
    <n v="5"/>
    <n v="0.19"/>
    <n v="0.28999999999999998"/>
    <s v="South"/>
    <s v="CUST0102"/>
    <n v="6048.1500000000005"/>
  </r>
  <r>
    <n v="38"/>
    <x v="35"/>
    <x v="1"/>
    <s v="Accessories"/>
    <n v="1202.56"/>
    <n v="1"/>
    <n v="0.1"/>
    <n v="0.16"/>
    <s v="East"/>
    <s v="CUST0181"/>
    <n v="1202.56"/>
  </r>
  <r>
    <n v="39"/>
    <x v="36"/>
    <x v="5"/>
    <s v="Electronics"/>
    <n v="1291.08"/>
    <n v="4"/>
    <n v="0.2"/>
    <n v="0.1"/>
    <s v="North"/>
    <s v="CUST0106"/>
    <n v="5164.32"/>
  </r>
  <r>
    <n v="40"/>
    <x v="37"/>
    <x v="5"/>
    <s v="Electronics"/>
    <n v="539.28"/>
    <n v="4"/>
    <n v="0.28000000000000003"/>
    <n v="0.22"/>
    <s v="East"/>
    <s v="CUST0239"/>
    <n v="2157.12"/>
  </r>
  <r>
    <n v="41"/>
    <x v="38"/>
    <x v="3"/>
    <s v="Accessories"/>
    <n v="1406.68"/>
    <n v="1"/>
    <n v="0.2"/>
    <n v="0.32"/>
    <s v="South"/>
    <s v="CUST0192"/>
    <n v="1406.68"/>
  </r>
  <r>
    <n v="42"/>
    <x v="39"/>
    <x v="5"/>
    <s v="Electronics"/>
    <n v="823.64"/>
    <n v="2"/>
    <n v="0.08"/>
    <n v="0.3"/>
    <s v="South"/>
    <s v="CUST0118"/>
    <n v="1647.28"/>
  </r>
  <r>
    <n v="43"/>
    <x v="40"/>
    <x v="0"/>
    <s v="Electronics"/>
    <n v="1473.7"/>
    <n v="4"/>
    <n v="0.16"/>
    <n v="0.17"/>
    <s v="South"/>
    <s v="CUST0081"/>
    <n v="5894.8"/>
  </r>
  <r>
    <n v="44"/>
    <x v="41"/>
    <x v="2"/>
    <s v="Accessories"/>
    <n v="1448.99"/>
    <n v="5"/>
    <n v="0.27"/>
    <n v="0.28999999999999998"/>
    <s v="South"/>
    <s v="CUST0188"/>
    <n v="7244.95"/>
  </r>
  <r>
    <n v="45"/>
    <x v="42"/>
    <x v="5"/>
    <s v="Electronics"/>
    <n v="436.34"/>
    <n v="3"/>
    <n v="0.22"/>
    <n v="0.37"/>
    <s v="West"/>
    <s v="CUST0243"/>
    <n v="1309.02"/>
  </r>
  <r>
    <n v="46"/>
    <x v="43"/>
    <x v="5"/>
    <s v="Electronics"/>
    <n v="621.65"/>
    <n v="1"/>
    <n v="0.19"/>
    <n v="0.13"/>
    <s v="West"/>
    <s v="CUST0227"/>
    <n v="621.65"/>
  </r>
  <r>
    <n v="47"/>
    <x v="44"/>
    <x v="2"/>
    <s v="Accessories"/>
    <n v="919.48"/>
    <n v="3"/>
    <n v="0.11"/>
    <n v="0.38"/>
    <s v="North"/>
    <s v="CUST0213"/>
    <n v="2758.44"/>
  </r>
  <r>
    <n v="48"/>
    <x v="45"/>
    <x v="3"/>
    <s v="Accessories"/>
    <n v="32.47"/>
    <n v="2"/>
    <n v="0.15"/>
    <n v="0.23"/>
    <s v="East"/>
    <s v="CUST0083"/>
    <n v="64.94"/>
  </r>
  <r>
    <n v="49"/>
    <x v="17"/>
    <x v="3"/>
    <s v="Accessories"/>
    <n v="284.49"/>
    <n v="4"/>
    <n v="7.0000000000000007E-2"/>
    <n v="0.2"/>
    <s v="West"/>
    <s v="CUST0210"/>
    <n v="1137.96"/>
  </r>
  <r>
    <n v="50"/>
    <x v="3"/>
    <x v="0"/>
    <s v="Electronics"/>
    <n v="1088.3900000000001"/>
    <n v="1"/>
    <n v="0.16"/>
    <n v="0.25"/>
    <s v="West"/>
    <s v="CUST0113"/>
    <n v="1088.3900000000001"/>
  </r>
  <r>
    <n v="51"/>
    <x v="46"/>
    <x v="0"/>
    <s v="Electronics"/>
    <n v="384.88"/>
    <n v="5"/>
    <n v="0.15"/>
    <n v="0.37"/>
    <s v="East"/>
    <s v="CUST0124"/>
    <n v="1924.4"/>
  </r>
  <r>
    <n v="52"/>
    <x v="47"/>
    <x v="1"/>
    <s v="Accessories"/>
    <n v="1197.3499999999999"/>
    <n v="1"/>
    <n v="0.17"/>
    <n v="0.25"/>
    <s v="West"/>
    <s v="CUST0241"/>
    <n v="1197.3499999999999"/>
  </r>
  <r>
    <n v="53"/>
    <x v="48"/>
    <x v="0"/>
    <s v="Electronics"/>
    <n v="761.31"/>
    <n v="4"/>
    <n v="0.01"/>
    <n v="0.28999999999999998"/>
    <s v="East"/>
    <s v="CUST0058"/>
    <n v="3045.24"/>
  </r>
  <r>
    <n v="54"/>
    <x v="29"/>
    <x v="5"/>
    <s v="Electronics"/>
    <n v="1491.96"/>
    <n v="5"/>
    <n v="0.08"/>
    <n v="0.37"/>
    <s v="East"/>
    <s v="CUST0248"/>
    <n v="7459.8"/>
  </r>
  <r>
    <n v="55"/>
    <x v="49"/>
    <x v="2"/>
    <s v="Accessories"/>
    <n v="1430.78"/>
    <n v="5"/>
    <n v="0.13"/>
    <n v="0.39"/>
    <s v="South"/>
    <s v="CUST0230"/>
    <n v="7153.9"/>
  </r>
  <r>
    <n v="56"/>
    <x v="50"/>
    <x v="4"/>
    <s v="Electronics"/>
    <n v="1470.99"/>
    <n v="4"/>
    <n v="0.09"/>
    <n v="0.22"/>
    <s v="North"/>
    <s v="CUST0021"/>
    <n v="5883.96"/>
  </r>
  <r>
    <n v="57"/>
    <x v="51"/>
    <x v="0"/>
    <s v="Electronics"/>
    <n v="492.46"/>
    <n v="2"/>
    <n v="0.17"/>
    <n v="0.38"/>
    <s v="West"/>
    <s v="CUST0060"/>
    <n v="984.92"/>
  </r>
  <r>
    <n v="58"/>
    <x v="52"/>
    <x v="3"/>
    <s v="Accessories"/>
    <n v="1396.77"/>
    <n v="2"/>
    <n v="0.18"/>
    <n v="0.4"/>
    <s v="West"/>
    <s v="CUST0253"/>
    <n v="2793.54"/>
  </r>
  <r>
    <n v="59"/>
    <x v="53"/>
    <x v="4"/>
    <s v="Electronics"/>
    <n v="789.54"/>
    <n v="2"/>
    <n v="0.1"/>
    <n v="0.35"/>
    <s v="North"/>
    <s v="CUST0198"/>
    <n v="1579.08"/>
  </r>
  <r>
    <n v="60"/>
    <x v="54"/>
    <x v="0"/>
    <s v="Electronics"/>
    <n v="1070.6400000000001"/>
    <n v="5"/>
    <n v="0.09"/>
    <n v="0.23"/>
    <s v="East"/>
    <s v="CUST0278"/>
    <n v="5353.2000000000007"/>
  </r>
  <r>
    <n v="61"/>
    <x v="55"/>
    <x v="4"/>
    <s v="Electronics"/>
    <n v="1303.93"/>
    <n v="5"/>
    <n v="0.02"/>
    <n v="0.1"/>
    <s v="East"/>
    <s v="CUST0207"/>
    <n v="6519.6500000000005"/>
  </r>
  <r>
    <n v="62"/>
    <x v="56"/>
    <x v="2"/>
    <s v="Accessories"/>
    <n v="1202.49"/>
    <n v="1"/>
    <n v="0.02"/>
    <n v="0.22"/>
    <s v="West"/>
    <s v="CUST0020"/>
    <n v="1202.49"/>
  </r>
  <r>
    <n v="63"/>
    <x v="57"/>
    <x v="2"/>
    <s v="Accessories"/>
    <n v="1337.76"/>
    <n v="4"/>
    <n v="0.17"/>
    <n v="0.23"/>
    <s v="West"/>
    <s v="CUST0069"/>
    <n v="5351.04"/>
  </r>
  <r>
    <n v="64"/>
    <x v="58"/>
    <x v="4"/>
    <s v="Electronics"/>
    <n v="509.03"/>
    <n v="2"/>
    <n v="0.16"/>
    <n v="0.19"/>
    <s v="East"/>
    <s v="CUST0077"/>
    <n v="1018.06"/>
  </r>
  <r>
    <n v="65"/>
    <x v="10"/>
    <x v="3"/>
    <s v="Accessories"/>
    <n v="1294.0999999999999"/>
    <n v="1"/>
    <n v="0.01"/>
    <n v="0.35"/>
    <s v="South"/>
    <s v="CUST0278"/>
    <n v="1294.0999999999999"/>
  </r>
  <r>
    <n v="66"/>
    <x v="59"/>
    <x v="4"/>
    <s v="Electronics"/>
    <n v="817.2"/>
    <n v="5"/>
    <n v="0.16"/>
    <n v="0.33"/>
    <s v="South"/>
    <s v="CUST0258"/>
    <n v="4086"/>
  </r>
  <r>
    <n v="67"/>
    <x v="60"/>
    <x v="3"/>
    <s v="Accessories"/>
    <n v="943.76"/>
    <n v="4"/>
    <n v="0.25"/>
    <n v="0.16"/>
    <s v="East"/>
    <s v="CUST0233"/>
    <n v="3775.04"/>
  </r>
  <r>
    <n v="68"/>
    <x v="61"/>
    <x v="4"/>
    <s v="Electronics"/>
    <n v="822.44"/>
    <n v="4"/>
    <n v="0.04"/>
    <n v="0.39"/>
    <s v="West"/>
    <s v="CUST0014"/>
    <n v="3289.76"/>
  </r>
  <r>
    <n v="69"/>
    <x v="51"/>
    <x v="5"/>
    <s v="Electronics"/>
    <n v="501.36"/>
    <n v="1"/>
    <n v="0.12"/>
    <n v="0.23"/>
    <s v="North"/>
    <s v="CUST0038"/>
    <n v="501.36"/>
  </r>
  <r>
    <n v="70"/>
    <x v="52"/>
    <x v="5"/>
    <s v="Electronics"/>
    <n v="140.72"/>
    <n v="5"/>
    <n v="0.06"/>
    <n v="0.12"/>
    <s v="North"/>
    <s v="CUST0252"/>
    <n v="703.6"/>
  </r>
  <r>
    <n v="71"/>
    <x v="62"/>
    <x v="2"/>
    <s v="Accessories"/>
    <n v="1051.56"/>
    <n v="5"/>
    <n v="0.02"/>
    <n v="0.37"/>
    <s v="North"/>
    <s v="CUST0276"/>
    <n v="5257.7999999999993"/>
  </r>
  <r>
    <n v="72"/>
    <x v="63"/>
    <x v="5"/>
    <s v="Electronics"/>
    <n v="394.11"/>
    <n v="1"/>
    <n v="0.2"/>
    <n v="0.18"/>
    <s v="North"/>
    <s v="CUST0058"/>
    <n v="394.11"/>
  </r>
  <r>
    <n v="73"/>
    <x v="64"/>
    <x v="0"/>
    <s v="Electronics"/>
    <n v="787.13"/>
    <n v="5"/>
    <n v="0.18"/>
    <n v="0.23"/>
    <s v="West"/>
    <s v="CUST0115"/>
    <n v="3935.65"/>
  </r>
  <r>
    <n v="74"/>
    <x v="65"/>
    <x v="3"/>
    <s v="Accessories"/>
    <n v="859.9"/>
    <n v="3"/>
    <n v="0.23"/>
    <n v="0.1"/>
    <s v="North"/>
    <s v="CUST0298"/>
    <n v="2579.6999999999998"/>
  </r>
  <r>
    <n v="75"/>
    <x v="66"/>
    <x v="5"/>
    <s v="Electronics"/>
    <n v="92.85"/>
    <n v="1"/>
    <n v="0.09"/>
    <n v="0.39"/>
    <s v="North"/>
    <s v="CUST0236"/>
    <n v="92.85"/>
  </r>
  <r>
    <n v="76"/>
    <x v="16"/>
    <x v="3"/>
    <s v="Accessories"/>
    <n v="50.31"/>
    <n v="2"/>
    <n v="0.15"/>
    <n v="0.24"/>
    <s v="West"/>
    <s v="CUST0194"/>
    <n v="100.62"/>
  </r>
  <r>
    <n v="77"/>
    <x v="67"/>
    <x v="3"/>
    <s v="Accessories"/>
    <n v="710.39"/>
    <n v="5"/>
    <n v="0.12"/>
    <n v="0.28000000000000003"/>
    <s v="West"/>
    <s v="CUST0295"/>
    <n v="3551.95"/>
  </r>
  <r>
    <n v="78"/>
    <x v="68"/>
    <x v="2"/>
    <s v="Accessories"/>
    <n v="1332.85"/>
    <n v="4"/>
    <n v="0.11"/>
    <n v="0.28999999999999998"/>
    <s v="South"/>
    <s v="CUST0290"/>
    <n v="5331.4"/>
  </r>
  <r>
    <n v="79"/>
    <x v="69"/>
    <x v="3"/>
    <s v="Accessories"/>
    <n v="1288.32"/>
    <n v="5"/>
    <n v="0.21"/>
    <n v="0.28000000000000003"/>
    <s v="West"/>
    <s v="CUST0012"/>
    <n v="6441.5999999999995"/>
  </r>
  <r>
    <n v="80"/>
    <x v="8"/>
    <x v="5"/>
    <s v="Electronics"/>
    <n v="972.57"/>
    <n v="1"/>
    <n v="0.26"/>
    <n v="0.28999999999999998"/>
    <s v="South"/>
    <s v="CUST0161"/>
    <n v="972.57"/>
  </r>
  <r>
    <n v="81"/>
    <x v="70"/>
    <x v="3"/>
    <s v="Accessories"/>
    <n v="873.82"/>
    <n v="2"/>
    <n v="0.17"/>
    <n v="0.14000000000000001"/>
    <s v="South"/>
    <s v="CUST0053"/>
    <n v="1747.64"/>
  </r>
  <r>
    <n v="82"/>
    <x v="71"/>
    <x v="5"/>
    <s v="Electronics"/>
    <n v="1235.44"/>
    <n v="4"/>
    <n v="0.12"/>
    <n v="0.39"/>
    <s v="North"/>
    <s v="CUST0149"/>
    <n v="4941.76"/>
  </r>
  <r>
    <n v="83"/>
    <x v="72"/>
    <x v="2"/>
    <s v="Accessories"/>
    <n v="329.86"/>
    <n v="5"/>
    <n v="0.02"/>
    <n v="0.13"/>
    <s v="East"/>
    <s v="CUST0069"/>
    <n v="1649.3000000000002"/>
  </r>
  <r>
    <n v="84"/>
    <x v="73"/>
    <x v="4"/>
    <s v="Electronics"/>
    <n v="164.3"/>
    <n v="3"/>
    <n v="0.1"/>
    <n v="0.3"/>
    <s v="North"/>
    <s v="CUST0065"/>
    <n v="492.90000000000003"/>
  </r>
  <r>
    <n v="85"/>
    <x v="74"/>
    <x v="1"/>
    <s v="Accessories"/>
    <n v="1271.19"/>
    <n v="2"/>
    <n v="0.1"/>
    <n v="0.18"/>
    <s v="East"/>
    <s v="CUST0032"/>
    <n v="2542.38"/>
  </r>
  <r>
    <n v="86"/>
    <x v="75"/>
    <x v="5"/>
    <s v="Electronics"/>
    <n v="1047.01"/>
    <n v="2"/>
    <n v="0.19"/>
    <n v="0.36"/>
    <s v="East"/>
    <s v="CUST0250"/>
    <n v="2094.02"/>
  </r>
  <r>
    <n v="87"/>
    <x v="76"/>
    <x v="1"/>
    <s v="Accessories"/>
    <n v="1210.1300000000001"/>
    <n v="1"/>
    <n v="0.16"/>
    <n v="0.23"/>
    <s v="South"/>
    <s v="CUST0209"/>
    <n v="1210.1300000000001"/>
  </r>
  <r>
    <n v="88"/>
    <x v="68"/>
    <x v="1"/>
    <s v="Accessories"/>
    <n v="874.49"/>
    <n v="3"/>
    <n v="0.12"/>
    <n v="0.21"/>
    <s v="West"/>
    <s v="CUST0010"/>
    <n v="2623.4700000000003"/>
  </r>
  <r>
    <n v="89"/>
    <x v="77"/>
    <x v="0"/>
    <s v="Electronics"/>
    <n v="527.69000000000005"/>
    <n v="5"/>
    <n v="7.0000000000000007E-2"/>
    <n v="0.3"/>
    <s v="North"/>
    <s v="CUST0190"/>
    <n v="2638.4500000000003"/>
  </r>
  <r>
    <n v="90"/>
    <x v="78"/>
    <x v="3"/>
    <s v="Accessories"/>
    <n v="1137.95"/>
    <n v="1"/>
    <n v="0.11"/>
    <n v="0.26"/>
    <s v="North"/>
    <s v="CUST0053"/>
    <n v="1137.95"/>
  </r>
  <r>
    <n v="91"/>
    <x v="29"/>
    <x v="1"/>
    <s v="Accessories"/>
    <n v="1244.02"/>
    <n v="5"/>
    <n v="0.27"/>
    <n v="0.22"/>
    <s v="North"/>
    <s v="CUST0275"/>
    <n v="6220.1"/>
  </r>
  <r>
    <n v="92"/>
    <x v="21"/>
    <x v="3"/>
    <s v="Accessories"/>
    <n v="1274.54"/>
    <n v="1"/>
    <n v="0.1"/>
    <n v="0.39"/>
    <s v="East"/>
    <s v="CUST0030"/>
    <n v="1274.54"/>
  </r>
  <r>
    <n v="93"/>
    <x v="13"/>
    <x v="5"/>
    <s v="Electronics"/>
    <n v="870.82"/>
    <n v="5"/>
    <n v="0.03"/>
    <n v="0.28000000000000003"/>
    <s v="East"/>
    <s v="CUST0234"/>
    <n v="4354.1000000000004"/>
  </r>
  <r>
    <n v="94"/>
    <x v="79"/>
    <x v="4"/>
    <s v="Electronics"/>
    <n v="1192.58"/>
    <n v="1"/>
    <n v="0.03"/>
    <n v="0.38"/>
    <s v="West"/>
    <s v="CUST0002"/>
    <n v="1192.58"/>
  </r>
  <r>
    <n v="95"/>
    <x v="80"/>
    <x v="4"/>
    <s v="Electronics"/>
    <n v="109.9"/>
    <n v="2"/>
    <n v="0.13"/>
    <n v="0.37"/>
    <s v="North"/>
    <s v="CUST0127"/>
    <n v="219.8"/>
  </r>
  <r>
    <n v="96"/>
    <x v="72"/>
    <x v="3"/>
    <s v="Accessories"/>
    <n v="1066.0999999999999"/>
    <n v="4"/>
    <n v="0.21"/>
    <n v="0.35"/>
    <s v="North"/>
    <s v="CUST0135"/>
    <n v="4264.3999999999996"/>
  </r>
  <r>
    <n v="97"/>
    <x v="26"/>
    <x v="4"/>
    <s v="Electronics"/>
    <n v="1261.76"/>
    <n v="5"/>
    <n v="7.0000000000000007E-2"/>
    <n v="0.22"/>
    <s v="East"/>
    <s v="CUST0147"/>
    <n v="6308.8"/>
  </r>
  <r>
    <n v="98"/>
    <x v="81"/>
    <x v="1"/>
    <s v="Accessories"/>
    <n v="1066.71"/>
    <n v="5"/>
    <n v="0.15"/>
    <n v="0.17"/>
    <s v="South"/>
    <s v="CUST0098"/>
    <n v="5333.55"/>
  </r>
  <r>
    <n v="99"/>
    <x v="82"/>
    <x v="2"/>
    <s v="Accessories"/>
    <n v="577.04999999999995"/>
    <n v="1"/>
    <n v="0.26"/>
    <n v="0.17"/>
    <s v="North"/>
    <s v="CUST0073"/>
    <n v="577.04999999999995"/>
  </r>
  <r>
    <n v="100"/>
    <x v="83"/>
    <x v="5"/>
    <s v="Electronics"/>
    <n v="1479.35"/>
    <n v="4"/>
    <n v="0.11"/>
    <n v="0.31"/>
    <s v="West"/>
    <s v="CUST0129"/>
    <n v="5917.4"/>
  </r>
  <r>
    <n v="101"/>
    <x v="84"/>
    <x v="3"/>
    <s v="Accessories"/>
    <n v="1171.29"/>
    <n v="3"/>
    <n v="7.0000000000000007E-2"/>
    <n v="0.2"/>
    <s v="West"/>
    <s v="CUST0040"/>
    <n v="3513.87"/>
  </r>
  <r>
    <n v="102"/>
    <x v="85"/>
    <x v="2"/>
    <s v="Accessories"/>
    <n v="751.62"/>
    <n v="5"/>
    <n v="0.12"/>
    <n v="0.27"/>
    <s v="West"/>
    <s v="CUST0279"/>
    <n v="3758.1"/>
  </r>
  <r>
    <n v="103"/>
    <x v="86"/>
    <x v="3"/>
    <s v="Accessories"/>
    <n v="200.26"/>
    <n v="5"/>
    <n v="0.25"/>
    <n v="0.32"/>
    <s v="North"/>
    <s v="CUST0213"/>
    <n v="1001.3"/>
  </r>
  <r>
    <n v="104"/>
    <x v="87"/>
    <x v="1"/>
    <s v="Accessories"/>
    <n v="1444.2"/>
    <n v="4"/>
    <n v="0.09"/>
    <n v="0.36"/>
    <s v="West"/>
    <s v="CUST0232"/>
    <n v="5776.8"/>
  </r>
  <r>
    <n v="105"/>
    <x v="88"/>
    <x v="4"/>
    <s v="Electronics"/>
    <n v="1445.75"/>
    <n v="4"/>
    <n v="0.28999999999999998"/>
    <n v="0.27"/>
    <s v="South"/>
    <s v="CUST0285"/>
    <n v="5783"/>
  </r>
  <r>
    <n v="106"/>
    <x v="89"/>
    <x v="2"/>
    <s v="Accessories"/>
    <n v="1339.44"/>
    <n v="5"/>
    <n v="0.3"/>
    <n v="0.12"/>
    <s v="East"/>
    <s v="CUST0233"/>
    <n v="6697.2000000000007"/>
  </r>
  <r>
    <n v="107"/>
    <x v="90"/>
    <x v="5"/>
    <s v="Electronics"/>
    <n v="1050.73"/>
    <n v="1"/>
    <n v="0.16"/>
    <n v="0.28999999999999998"/>
    <s v="West"/>
    <s v="CUST0165"/>
    <n v="1050.73"/>
  </r>
  <r>
    <n v="108"/>
    <x v="91"/>
    <x v="2"/>
    <s v="Accessories"/>
    <n v="459.38"/>
    <n v="1"/>
    <n v="0.19"/>
    <n v="0.28000000000000003"/>
    <s v="North"/>
    <s v="CUST0022"/>
    <n v="459.38"/>
  </r>
  <r>
    <n v="109"/>
    <x v="92"/>
    <x v="3"/>
    <s v="Accessories"/>
    <n v="1112.22"/>
    <n v="3"/>
    <n v="0.08"/>
    <n v="0.39"/>
    <s v="South"/>
    <s v="CUST0225"/>
    <n v="3336.66"/>
  </r>
  <r>
    <n v="110"/>
    <x v="93"/>
    <x v="2"/>
    <s v="Accessories"/>
    <n v="697.09"/>
    <n v="4"/>
    <n v="0.1"/>
    <n v="0.15"/>
    <s v="North"/>
    <s v="CUST0027"/>
    <n v="2788.36"/>
  </r>
  <r>
    <n v="111"/>
    <x v="94"/>
    <x v="1"/>
    <s v="Accessories"/>
    <n v="708.96"/>
    <n v="2"/>
    <n v="7.0000000000000007E-2"/>
    <n v="0.18"/>
    <s v="North"/>
    <s v="CUST0281"/>
    <n v="1417.92"/>
  </r>
  <r>
    <n v="112"/>
    <x v="95"/>
    <x v="4"/>
    <s v="Electronics"/>
    <n v="1462.23"/>
    <n v="3"/>
    <n v="0.21"/>
    <n v="0.26"/>
    <s v="West"/>
    <s v="CUST0161"/>
    <n v="4386.6900000000005"/>
  </r>
  <r>
    <n v="113"/>
    <x v="96"/>
    <x v="2"/>
    <s v="Accessories"/>
    <n v="914.1"/>
    <n v="5"/>
    <n v="0.04"/>
    <n v="0.12"/>
    <s v="North"/>
    <s v="CUST0145"/>
    <n v="4570.5"/>
  </r>
  <r>
    <n v="114"/>
    <x v="97"/>
    <x v="2"/>
    <s v="Accessories"/>
    <n v="639.54"/>
    <n v="5"/>
    <n v="0.18"/>
    <n v="0.23"/>
    <s v="South"/>
    <s v="CUST0031"/>
    <n v="3197.7"/>
  </r>
  <r>
    <n v="115"/>
    <x v="16"/>
    <x v="2"/>
    <s v="Accessories"/>
    <n v="1318.08"/>
    <n v="3"/>
    <n v="0.01"/>
    <n v="0.11"/>
    <s v="East"/>
    <s v="CUST0037"/>
    <n v="3954.24"/>
  </r>
  <r>
    <n v="116"/>
    <x v="98"/>
    <x v="1"/>
    <s v="Accessories"/>
    <n v="1171.96"/>
    <n v="2"/>
    <n v="0.3"/>
    <n v="0.15"/>
    <s v="North"/>
    <s v="CUST0212"/>
    <n v="2343.92"/>
  </r>
  <r>
    <n v="117"/>
    <x v="99"/>
    <x v="3"/>
    <s v="Accessories"/>
    <n v="1130.6300000000001"/>
    <n v="1"/>
    <n v="0.28999999999999998"/>
    <n v="0.35"/>
    <s v="North"/>
    <s v="CUST0125"/>
    <n v="1130.6300000000001"/>
  </r>
  <r>
    <n v="118"/>
    <x v="100"/>
    <x v="0"/>
    <s v="Electronics"/>
    <n v="79.31"/>
    <n v="1"/>
    <n v="0"/>
    <n v="0.12"/>
    <s v="West"/>
    <s v="CUST0165"/>
    <n v="79.31"/>
  </r>
  <r>
    <n v="119"/>
    <x v="101"/>
    <x v="2"/>
    <s v="Accessories"/>
    <n v="1499.58"/>
    <n v="3"/>
    <n v="0.17"/>
    <n v="0.33"/>
    <s v="West"/>
    <s v="CUST0292"/>
    <n v="4498.74"/>
  </r>
  <r>
    <n v="120"/>
    <x v="102"/>
    <x v="3"/>
    <s v="Accessories"/>
    <n v="1141.69"/>
    <n v="3"/>
    <n v="7.0000000000000007E-2"/>
    <n v="0.24"/>
    <s v="West"/>
    <s v="CUST0251"/>
    <n v="3425.07"/>
  </r>
  <r>
    <n v="121"/>
    <x v="103"/>
    <x v="2"/>
    <s v="Accessories"/>
    <n v="1432.23"/>
    <n v="5"/>
    <n v="0.06"/>
    <n v="0.36"/>
    <s v="West"/>
    <s v="CUST0279"/>
    <n v="7161.15"/>
  </r>
  <r>
    <n v="122"/>
    <x v="104"/>
    <x v="2"/>
    <s v="Accessories"/>
    <n v="94.17"/>
    <n v="2"/>
    <n v="0.15"/>
    <n v="0.24"/>
    <s v="South"/>
    <s v="CUST0241"/>
    <n v="188.34"/>
  </r>
  <r>
    <n v="123"/>
    <x v="105"/>
    <x v="0"/>
    <s v="Electronics"/>
    <n v="792.24"/>
    <n v="4"/>
    <n v="0.24"/>
    <n v="0.39"/>
    <s v="North"/>
    <s v="CUST0128"/>
    <n v="3168.96"/>
  </r>
  <r>
    <n v="124"/>
    <x v="106"/>
    <x v="0"/>
    <s v="Electronics"/>
    <n v="1192.93"/>
    <n v="1"/>
    <n v="0.04"/>
    <n v="0.11"/>
    <s v="North"/>
    <s v="CUST0157"/>
    <n v="1192.93"/>
  </r>
  <r>
    <n v="125"/>
    <x v="76"/>
    <x v="4"/>
    <s v="Electronics"/>
    <n v="1182.3900000000001"/>
    <n v="2"/>
    <n v="0.24"/>
    <n v="0.37"/>
    <s v="East"/>
    <s v="CUST0205"/>
    <n v="2364.7800000000002"/>
  </r>
  <r>
    <n v="126"/>
    <x v="107"/>
    <x v="0"/>
    <s v="Electronics"/>
    <n v="46.45"/>
    <n v="2"/>
    <n v="0.18"/>
    <n v="0.22"/>
    <s v="East"/>
    <s v="CUST0175"/>
    <n v="92.9"/>
  </r>
  <r>
    <n v="127"/>
    <x v="108"/>
    <x v="2"/>
    <s v="Accessories"/>
    <n v="159.22999999999999"/>
    <n v="2"/>
    <n v="0.1"/>
    <n v="0.25"/>
    <s v="South"/>
    <s v="CUST0248"/>
    <n v="318.45999999999998"/>
  </r>
  <r>
    <n v="128"/>
    <x v="109"/>
    <x v="1"/>
    <s v="Accessories"/>
    <n v="609.9"/>
    <n v="2"/>
    <n v="0.26"/>
    <n v="0.38"/>
    <s v="South"/>
    <s v="CUST0015"/>
    <n v="1219.8"/>
  </r>
  <r>
    <n v="129"/>
    <x v="110"/>
    <x v="4"/>
    <s v="Electronics"/>
    <n v="1391.72"/>
    <n v="2"/>
    <n v="0.23"/>
    <n v="0.12"/>
    <s v="North"/>
    <s v="CUST0085"/>
    <n v="2783.44"/>
  </r>
  <r>
    <n v="130"/>
    <x v="111"/>
    <x v="2"/>
    <s v="Accessories"/>
    <n v="1470.55"/>
    <n v="5"/>
    <n v="0.1"/>
    <n v="0.16"/>
    <s v="North"/>
    <s v="CUST0088"/>
    <n v="7352.75"/>
  </r>
  <r>
    <n v="131"/>
    <x v="69"/>
    <x v="3"/>
    <s v="Accessories"/>
    <n v="379.21"/>
    <n v="3"/>
    <n v="0.16"/>
    <n v="0.24"/>
    <s v="South"/>
    <s v="CUST0027"/>
    <n v="1137.6299999999999"/>
  </r>
  <r>
    <n v="132"/>
    <x v="112"/>
    <x v="5"/>
    <s v="Electronics"/>
    <n v="249.06"/>
    <n v="4"/>
    <n v="0.05"/>
    <n v="0.2"/>
    <s v="West"/>
    <s v="CUST0250"/>
    <n v="996.24"/>
  </r>
  <r>
    <n v="133"/>
    <x v="113"/>
    <x v="5"/>
    <s v="Electronics"/>
    <n v="1314.62"/>
    <n v="3"/>
    <n v="0.2"/>
    <n v="0.15"/>
    <s v="North"/>
    <s v="CUST0156"/>
    <n v="3943.8599999999997"/>
  </r>
  <r>
    <n v="134"/>
    <x v="47"/>
    <x v="3"/>
    <s v="Accessories"/>
    <n v="355.18"/>
    <n v="5"/>
    <n v="0.05"/>
    <n v="0.18"/>
    <s v="East"/>
    <s v="CUST0132"/>
    <n v="1775.9"/>
  </r>
  <r>
    <n v="135"/>
    <x v="114"/>
    <x v="4"/>
    <s v="Electronics"/>
    <n v="71.91"/>
    <n v="1"/>
    <n v="0.16"/>
    <n v="0.21"/>
    <s v="East"/>
    <s v="CUST0104"/>
    <n v="71.91"/>
  </r>
  <r>
    <n v="136"/>
    <x v="115"/>
    <x v="5"/>
    <s v="Electronics"/>
    <n v="562.29999999999995"/>
    <n v="2"/>
    <n v="0.21"/>
    <n v="0.11"/>
    <s v="West"/>
    <s v="CUST0229"/>
    <n v="1124.5999999999999"/>
  </r>
  <r>
    <n v="137"/>
    <x v="116"/>
    <x v="2"/>
    <s v="Accessories"/>
    <n v="734.69"/>
    <n v="3"/>
    <n v="0.28000000000000003"/>
    <n v="0.12"/>
    <s v="East"/>
    <s v="CUST0112"/>
    <n v="2204.0700000000002"/>
  </r>
  <r>
    <n v="138"/>
    <x v="88"/>
    <x v="0"/>
    <s v="Electronics"/>
    <n v="1305.74"/>
    <n v="1"/>
    <n v="0.18"/>
    <n v="0.4"/>
    <s v="East"/>
    <s v="CUST0202"/>
    <n v="1305.74"/>
  </r>
  <r>
    <n v="139"/>
    <x v="117"/>
    <x v="3"/>
    <s v="Accessories"/>
    <n v="571.45000000000005"/>
    <n v="2"/>
    <n v="0.23"/>
    <n v="0.26"/>
    <s v="North"/>
    <s v="CUST0077"/>
    <n v="1142.9000000000001"/>
  </r>
  <r>
    <n v="140"/>
    <x v="118"/>
    <x v="1"/>
    <s v="Accessories"/>
    <n v="116.95"/>
    <n v="3"/>
    <n v="0.08"/>
    <n v="0.31"/>
    <s v="East"/>
    <s v="CUST0030"/>
    <n v="350.85"/>
  </r>
  <r>
    <n v="141"/>
    <x v="2"/>
    <x v="4"/>
    <s v="Electronics"/>
    <n v="1270.55"/>
    <n v="3"/>
    <n v="0.16"/>
    <n v="0.13"/>
    <s v="North"/>
    <s v="CUST0049"/>
    <n v="3811.6499999999996"/>
  </r>
  <r>
    <n v="142"/>
    <x v="37"/>
    <x v="4"/>
    <s v="Electronics"/>
    <n v="810.61"/>
    <n v="1"/>
    <n v="0.22"/>
    <n v="0.15"/>
    <s v="North"/>
    <s v="CUST0079"/>
    <n v="810.61"/>
  </r>
  <r>
    <n v="143"/>
    <x v="119"/>
    <x v="0"/>
    <s v="Electronics"/>
    <n v="500.07"/>
    <n v="2"/>
    <n v="0.16"/>
    <n v="0.17"/>
    <s v="North"/>
    <s v="CUST0046"/>
    <n v="1000.14"/>
  </r>
  <r>
    <n v="144"/>
    <x v="120"/>
    <x v="2"/>
    <s v="Accessories"/>
    <n v="900.55"/>
    <n v="4"/>
    <n v="0.11"/>
    <n v="0.28999999999999998"/>
    <s v="East"/>
    <s v="CUST0119"/>
    <n v="3602.2"/>
  </r>
  <r>
    <n v="145"/>
    <x v="121"/>
    <x v="5"/>
    <s v="Electronics"/>
    <n v="153.21"/>
    <n v="2"/>
    <n v="0.17"/>
    <n v="0.28000000000000003"/>
    <s v="West"/>
    <s v="CUST0223"/>
    <n v="306.42"/>
  </r>
  <r>
    <n v="146"/>
    <x v="122"/>
    <x v="5"/>
    <s v="Electronics"/>
    <n v="213.18"/>
    <n v="1"/>
    <n v="0.1"/>
    <n v="0.37"/>
    <s v="North"/>
    <s v="CUST0098"/>
    <n v="213.18"/>
  </r>
  <r>
    <n v="147"/>
    <x v="16"/>
    <x v="1"/>
    <s v="Accessories"/>
    <n v="866.9"/>
    <n v="3"/>
    <n v="0.3"/>
    <n v="0.28000000000000003"/>
    <s v="North"/>
    <s v="CUST0214"/>
    <n v="2600.6999999999998"/>
  </r>
  <r>
    <n v="148"/>
    <x v="123"/>
    <x v="4"/>
    <s v="Electronics"/>
    <n v="36.11"/>
    <n v="5"/>
    <n v="0.05"/>
    <n v="0.17"/>
    <s v="North"/>
    <s v="CUST0163"/>
    <n v="180.55"/>
  </r>
  <r>
    <n v="149"/>
    <x v="124"/>
    <x v="3"/>
    <s v="Accessories"/>
    <n v="1279.96"/>
    <n v="1"/>
    <n v="0.02"/>
    <n v="0.26"/>
    <s v="East"/>
    <s v="CUST0185"/>
    <n v="1279.96"/>
  </r>
  <r>
    <n v="150"/>
    <x v="108"/>
    <x v="2"/>
    <s v="Accessories"/>
    <n v="1053.02"/>
    <n v="2"/>
    <n v="0.17"/>
    <n v="0.38"/>
    <s v="South"/>
    <s v="CUST0189"/>
    <n v="2106.04"/>
  </r>
  <r>
    <n v="151"/>
    <x v="18"/>
    <x v="1"/>
    <s v="Accessories"/>
    <n v="1230.18"/>
    <n v="1"/>
    <n v="0.15"/>
    <n v="0.32"/>
    <s v="East"/>
    <s v="CUST0062"/>
    <n v="1230.18"/>
  </r>
  <r>
    <n v="152"/>
    <x v="125"/>
    <x v="1"/>
    <s v="Accessories"/>
    <n v="1395.83"/>
    <n v="3"/>
    <n v="0.17"/>
    <n v="0.18"/>
    <s v="West"/>
    <s v="CUST0231"/>
    <n v="4187.49"/>
  </r>
  <r>
    <n v="153"/>
    <x v="126"/>
    <x v="4"/>
    <s v="Electronics"/>
    <n v="327.49"/>
    <n v="2"/>
    <n v="0.1"/>
    <n v="0.23"/>
    <s v="South"/>
    <s v="CUST0064"/>
    <n v="654.98"/>
  </r>
  <r>
    <n v="154"/>
    <x v="122"/>
    <x v="0"/>
    <s v="Electronics"/>
    <n v="1110.96"/>
    <n v="4"/>
    <n v="0.03"/>
    <n v="0.28000000000000003"/>
    <s v="West"/>
    <s v="CUST0001"/>
    <n v="4443.84"/>
  </r>
  <r>
    <n v="155"/>
    <x v="104"/>
    <x v="5"/>
    <s v="Electronics"/>
    <n v="153.75"/>
    <n v="3"/>
    <n v="0.28000000000000003"/>
    <n v="0.2"/>
    <s v="South"/>
    <s v="CUST0085"/>
    <n v="461.25"/>
  </r>
  <r>
    <n v="156"/>
    <x v="109"/>
    <x v="2"/>
    <s v="Accessories"/>
    <n v="101.44"/>
    <n v="2"/>
    <n v="0.14000000000000001"/>
    <n v="0.26"/>
    <s v="East"/>
    <s v="CUST0132"/>
    <n v="202.88"/>
  </r>
  <r>
    <n v="157"/>
    <x v="127"/>
    <x v="3"/>
    <s v="Accessories"/>
    <n v="1485.19"/>
    <n v="5"/>
    <n v="0.21"/>
    <n v="0.13"/>
    <s v="East"/>
    <s v="CUST0112"/>
    <n v="7425.9500000000007"/>
  </r>
  <r>
    <n v="158"/>
    <x v="128"/>
    <x v="0"/>
    <s v="Electronics"/>
    <n v="1030.22"/>
    <n v="1"/>
    <n v="0.04"/>
    <n v="0.24"/>
    <s v="West"/>
    <s v="CUST0177"/>
    <n v="1030.22"/>
  </r>
  <r>
    <n v="159"/>
    <x v="129"/>
    <x v="1"/>
    <s v="Accessories"/>
    <n v="632.47"/>
    <n v="1"/>
    <n v="0.26"/>
    <n v="0.32"/>
    <s v="West"/>
    <s v="CUST0065"/>
    <n v="632.47"/>
  </r>
  <r>
    <n v="160"/>
    <x v="9"/>
    <x v="2"/>
    <s v="Accessories"/>
    <n v="1401.08"/>
    <n v="3"/>
    <n v="0.28000000000000003"/>
    <n v="0.15"/>
    <s v="South"/>
    <s v="CUST0266"/>
    <n v="4203.24"/>
  </r>
  <r>
    <n v="161"/>
    <x v="130"/>
    <x v="2"/>
    <s v="Accessories"/>
    <n v="1391.51"/>
    <n v="4"/>
    <n v="0.25"/>
    <n v="0.14000000000000001"/>
    <s v="West"/>
    <s v="CUST0055"/>
    <n v="5566.04"/>
  </r>
  <r>
    <n v="162"/>
    <x v="19"/>
    <x v="0"/>
    <s v="Electronics"/>
    <n v="1131.99"/>
    <n v="4"/>
    <n v="0.05"/>
    <n v="0.15"/>
    <s v="North"/>
    <s v="CUST0257"/>
    <n v="4527.96"/>
  </r>
  <r>
    <n v="163"/>
    <x v="20"/>
    <x v="3"/>
    <s v="Accessories"/>
    <n v="372.65"/>
    <n v="2"/>
    <n v="0.27"/>
    <n v="0.19"/>
    <s v="North"/>
    <s v="CUST0208"/>
    <n v="745.3"/>
  </r>
  <r>
    <n v="164"/>
    <x v="131"/>
    <x v="4"/>
    <s v="Electronics"/>
    <n v="603.86"/>
    <n v="3"/>
    <n v="0.19"/>
    <n v="0.26"/>
    <s v="North"/>
    <s v="CUST0158"/>
    <n v="1811.58"/>
  </r>
  <r>
    <n v="165"/>
    <x v="132"/>
    <x v="4"/>
    <s v="Electronics"/>
    <n v="766.51"/>
    <n v="1"/>
    <n v="0.11"/>
    <n v="0.22"/>
    <s v="East"/>
    <s v="CUST0016"/>
    <n v="766.51"/>
  </r>
  <r>
    <n v="166"/>
    <x v="133"/>
    <x v="1"/>
    <s v="Accessories"/>
    <n v="1362.05"/>
    <n v="3"/>
    <n v="0.16"/>
    <n v="0.23"/>
    <s v="East"/>
    <s v="CUST0007"/>
    <n v="4086.1499999999996"/>
  </r>
  <r>
    <n v="167"/>
    <x v="134"/>
    <x v="0"/>
    <s v="Electronics"/>
    <n v="950.87"/>
    <n v="2"/>
    <n v="0.04"/>
    <n v="0.34"/>
    <s v="East"/>
    <s v="CUST0261"/>
    <n v="1901.74"/>
  </r>
  <r>
    <n v="168"/>
    <x v="135"/>
    <x v="0"/>
    <s v="Electronics"/>
    <n v="755.75"/>
    <n v="3"/>
    <n v="0.24"/>
    <n v="0.15"/>
    <s v="South"/>
    <s v="CUST0186"/>
    <n v="2267.25"/>
  </r>
  <r>
    <n v="169"/>
    <x v="136"/>
    <x v="1"/>
    <s v="Accessories"/>
    <n v="1067.8"/>
    <n v="3"/>
    <n v="0.22"/>
    <n v="0.11"/>
    <s v="West"/>
    <s v="CUST0175"/>
    <n v="3203.3999999999996"/>
  </r>
  <r>
    <n v="170"/>
    <x v="2"/>
    <x v="2"/>
    <s v="Accessories"/>
    <n v="1078.24"/>
    <n v="5"/>
    <n v="0.26"/>
    <n v="0.2"/>
    <s v="South"/>
    <s v="CUST0231"/>
    <n v="5391.2"/>
  </r>
  <r>
    <n v="171"/>
    <x v="137"/>
    <x v="2"/>
    <s v="Accessories"/>
    <n v="816.31"/>
    <n v="4"/>
    <n v="0.14000000000000001"/>
    <n v="0.28000000000000003"/>
    <s v="South"/>
    <s v="CUST0044"/>
    <n v="3265.24"/>
  </r>
  <r>
    <n v="172"/>
    <x v="138"/>
    <x v="1"/>
    <s v="Accessories"/>
    <n v="1201.01"/>
    <n v="5"/>
    <n v="0.15"/>
    <n v="0.22"/>
    <s v="East"/>
    <s v="CUST0264"/>
    <n v="6005.05"/>
  </r>
  <r>
    <n v="173"/>
    <x v="53"/>
    <x v="0"/>
    <s v="Electronics"/>
    <n v="1087.05"/>
    <n v="3"/>
    <n v="0.21"/>
    <n v="0.26"/>
    <s v="North"/>
    <s v="CUST0123"/>
    <n v="3261.1499999999996"/>
  </r>
  <r>
    <n v="174"/>
    <x v="128"/>
    <x v="0"/>
    <s v="Electronics"/>
    <n v="908.57"/>
    <n v="4"/>
    <n v="0.05"/>
    <n v="0.37"/>
    <s v="East"/>
    <s v="CUST0004"/>
    <n v="3634.28"/>
  </r>
  <r>
    <n v="175"/>
    <x v="139"/>
    <x v="3"/>
    <s v="Accessories"/>
    <n v="360.34"/>
    <n v="2"/>
    <n v="0.28000000000000003"/>
    <n v="0.15"/>
    <s v="East"/>
    <s v="CUST0300"/>
    <n v="720.68"/>
  </r>
  <r>
    <n v="176"/>
    <x v="140"/>
    <x v="5"/>
    <s v="Electronics"/>
    <n v="230.2"/>
    <n v="2"/>
    <n v="0.18"/>
    <n v="0.11"/>
    <s v="North"/>
    <s v="CUST0134"/>
    <n v="460.4"/>
  </r>
  <r>
    <n v="177"/>
    <x v="141"/>
    <x v="1"/>
    <s v="Accessories"/>
    <n v="899.62"/>
    <n v="4"/>
    <n v="0.17"/>
    <n v="0.31"/>
    <s v="South"/>
    <s v="CUST0244"/>
    <n v="3598.48"/>
  </r>
  <r>
    <n v="178"/>
    <x v="142"/>
    <x v="5"/>
    <s v="Electronics"/>
    <n v="1068.18"/>
    <n v="2"/>
    <n v="0.23"/>
    <n v="0.21"/>
    <s v="North"/>
    <s v="CUST0055"/>
    <n v="2136.36"/>
  </r>
  <r>
    <n v="179"/>
    <x v="143"/>
    <x v="1"/>
    <s v="Accessories"/>
    <n v="1111.26"/>
    <n v="1"/>
    <n v="0.28000000000000003"/>
    <n v="0.24"/>
    <s v="East"/>
    <s v="CUST0188"/>
    <n v="1111.26"/>
  </r>
  <r>
    <n v="180"/>
    <x v="144"/>
    <x v="5"/>
    <s v="Electronics"/>
    <n v="372.96"/>
    <n v="2"/>
    <n v="0.25"/>
    <n v="0.14000000000000001"/>
    <s v="North"/>
    <s v="CUST0140"/>
    <n v="745.92"/>
  </r>
  <r>
    <n v="181"/>
    <x v="132"/>
    <x v="4"/>
    <s v="Electronics"/>
    <n v="514.91999999999996"/>
    <n v="3"/>
    <n v="0.18"/>
    <n v="0.22"/>
    <s v="East"/>
    <s v="CUST0042"/>
    <n v="1544.7599999999998"/>
  </r>
  <r>
    <n v="182"/>
    <x v="145"/>
    <x v="5"/>
    <s v="Electronics"/>
    <n v="519.41999999999996"/>
    <n v="4"/>
    <n v="0.24"/>
    <n v="0.28000000000000003"/>
    <s v="East"/>
    <s v="CUST0056"/>
    <n v="2077.6799999999998"/>
  </r>
  <r>
    <n v="183"/>
    <x v="146"/>
    <x v="0"/>
    <s v="Electronics"/>
    <n v="612.29999999999995"/>
    <n v="1"/>
    <n v="0.26"/>
    <n v="0.38"/>
    <s v="North"/>
    <s v="CUST0279"/>
    <n v="612.29999999999995"/>
  </r>
  <r>
    <n v="184"/>
    <x v="147"/>
    <x v="4"/>
    <s v="Electronics"/>
    <n v="734.23"/>
    <n v="3"/>
    <n v="0.14000000000000001"/>
    <n v="0.17"/>
    <s v="West"/>
    <s v="CUST0058"/>
    <n v="2202.69"/>
  </r>
  <r>
    <n v="185"/>
    <x v="15"/>
    <x v="3"/>
    <s v="Accessories"/>
    <n v="1371.31"/>
    <n v="1"/>
    <n v="0.15"/>
    <n v="0.23"/>
    <s v="East"/>
    <s v="CUST0141"/>
    <n v="1371.31"/>
  </r>
  <r>
    <n v="186"/>
    <x v="148"/>
    <x v="1"/>
    <s v="Accessories"/>
    <n v="484.42"/>
    <n v="5"/>
    <n v="0.17"/>
    <n v="0.28999999999999998"/>
    <s v="East"/>
    <s v="CUST0087"/>
    <n v="2422.1"/>
  </r>
  <r>
    <n v="187"/>
    <x v="149"/>
    <x v="4"/>
    <s v="Electronics"/>
    <n v="338.7"/>
    <n v="1"/>
    <n v="0.05"/>
    <n v="0.39"/>
    <s v="South"/>
    <s v="CUST0289"/>
    <n v="338.7"/>
  </r>
  <r>
    <n v="188"/>
    <x v="82"/>
    <x v="2"/>
    <s v="Accessories"/>
    <n v="847.03"/>
    <n v="4"/>
    <n v="0.16"/>
    <n v="0.16"/>
    <s v="South"/>
    <s v="CUST0113"/>
    <n v="3388.12"/>
  </r>
  <r>
    <n v="189"/>
    <x v="150"/>
    <x v="5"/>
    <s v="Electronics"/>
    <n v="903.19"/>
    <n v="5"/>
    <n v="0.12"/>
    <n v="0.23"/>
    <s v="West"/>
    <s v="CUST0201"/>
    <n v="4515.9500000000007"/>
  </r>
  <r>
    <n v="190"/>
    <x v="91"/>
    <x v="3"/>
    <s v="Accessories"/>
    <n v="540.35"/>
    <n v="5"/>
    <n v="0.19"/>
    <n v="0.21"/>
    <s v="West"/>
    <s v="CUST0214"/>
    <n v="2701.75"/>
  </r>
  <r>
    <n v="191"/>
    <x v="151"/>
    <x v="0"/>
    <s v="Electronics"/>
    <n v="858.14"/>
    <n v="2"/>
    <n v="0.09"/>
    <n v="0.31"/>
    <s v="West"/>
    <s v="CUST0038"/>
    <n v="1716.28"/>
  </r>
  <r>
    <n v="192"/>
    <x v="127"/>
    <x v="1"/>
    <s v="Accessories"/>
    <n v="813.32"/>
    <n v="1"/>
    <n v="0.12"/>
    <n v="0.27"/>
    <s v="East"/>
    <s v="CUST0021"/>
    <n v="813.32"/>
  </r>
  <r>
    <n v="193"/>
    <x v="152"/>
    <x v="4"/>
    <s v="Electronics"/>
    <n v="176.9"/>
    <n v="5"/>
    <n v="0.02"/>
    <n v="0.33"/>
    <s v="North"/>
    <s v="CUST0176"/>
    <n v="884.5"/>
  </r>
  <r>
    <n v="194"/>
    <x v="103"/>
    <x v="2"/>
    <s v="Accessories"/>
    <n v="424.35"/>
    <n v="2"/>
    <n v="0.12"/>
    <n v="0.11"/>
    <s v="North"/>
    <s v="CUST0279"/>
    <n v="848.7"/>
  </r>
  <r>
    <n v="195"/>
    <x v="153"/>
    <x v="3"/>
    <s v="Accessories"/>
    <n v="1081.06"/>
    <n v="5"/>
    <n v="0.12"/>
    <n v="0.27"/>
    <s v="North"/>
    <s v="CUST0074"/>
    <n v="5405.2999999999993"/>
  </r>
  <r>
    <n v="196"/>
    <x v="115"/>
    <x v="3"/>
    <s v="Accessories"/>
    <n v="365.84"/>
    <n v="3"/>
    <n v="0.15"/>
    <n v="0.28000000000000003"/>
    <s v="South"/>
    <s v="CUST0218"/>
    <n v="1097.52"/>
  </r>
  <r>
    <n v="197"/>
    <x v="154"/>
    <x v="0"/>
    <s v="Electronics"/>
    <n v="1204.8800000000001"/>
    <n v="3"/>
    <n v="0.27"/>
    <n v="0.27"/>
    <s v="East"/>
    <s v="CUST0188"/>
    <n v="3614.6400000000003"/>
  </r>
  <r>
    <n v="198"/>
    <x v="155"/>
    <x v="5"/>
    <s v="Electronics"/>
    <n v="171.68"/>
    <n v="3"/>
    <n v="0.28999999999999998"/>
    <n v="0.38"/>
    <s v="South"/>
    <s v="CUST0070"/>
    <n v="515.04"/>
  </r>
  <r>
    <n v="199"/>
    <x v="38"/>
    <x v="3"/>
    <s v="Accessories"/>
    <n v="327.35000000000002"/>
    <n v="2"/>
    <n v="0"/>
    <n v="0.13"/>
    <s v="West"/>
    <s v="CUST0290"/>
    <n v="654.70000000000005"/>
  </r>
  <r>
    <n v="200"/>
    <x v="96"/>
    <x v="1"/>
    <s v="Accessories"/>
    <n v="1275.99"/>
    <n v="5"/>
    <n v="0.26"/>
    <n v="0.28999999999999998"/>
    <s v="West"/>
    <s v="CUST0156"/>
    <n v="6379.95"/>
  </r>
  <r>
    <n v="201"/>
    <x v="112"/>
    <x v="0"/>
    <s v="Electronics"/>
    <n v="1341.69"/>
    <n v="5"/>
    <n v="0.1"/>
    <n v="0.18"/>
    <s v="East"/>
    <s v="CUST0281"/>
    <n v="6708.4500000000007"/>
  </r>
  <r>
    <n v="202"/>
    <x v="156"/>
    <x v="1"/>
    <s v="Accessories"/>
    <n v="895.69"/>
    <n v="4"/>
    <n v="0.25"/>
    <n v="0.2"/>
    <s v="West"/>
    <s v="CUST0104"/>
    <n v="3582.76"/>
  </r>
  <r>
    <n v="203"/>
    <x v="57"/>
    <x v="3"/>
    <s v="Accessories"/>
    <n v="839.27"/>
    <n v="2"/>
    <n v="0.26"/>
    <n v="0.17"/>
    <s v="South"/>
    <s v="CUST0190"/>
    <n v="1678.54"/>
  </r>
  <r>
    <n v="204"/>
    <x v="12"/>
    <x v="4"/>
    <s v="Electronics"/>
    <n v="1175.1400000000001"/>
    <n v="1"/>
    <n v="0.26"/>
    <n v="0.25"/>
    <s v="South"/>
    <s v="CUST0265"/>
    <n v="1175.1400000000001"/>
  </r>
  <r>
    <n v="205"/>
    <x v="41"/>
    <x v="5"/>
    <s v="Electronics"/>
    <n v="1204.79"/>
    <n v="1"/>
    <n v="0.15"/>
    <n v="0.25"/>
    <s v="South"/>
    <s v="CUST0072"/>
    <n v="1204.79"/>
  </r>
  <r>
    <n v="206"/>
    <x v="157"/>
    <x v="0"/>
    <s v="Electronics"/>
    <n v="823.91"/>
    <n v="5"/>
    <n v="0.12"/>
    <n v="0.17"/>
    <s v="East"/>
    <s v="CUST0277"/>
    <n v="4119.55"/>
  </r>
  <r>
    <n v="207"/>
    <x v="99"/>
    <x v="4"/>
    <s v="Electronics"/>
    <n v="1256.52"/>
    <n v="4"/>
    <n v="0.04"/>
    <n v="0.37"/>
    <s v="East"/>
    <s v="CUST0051"/>
    <n v="5026.08"/>
  </r>
  <r>
    <n v="208"/>
    <x v="20"/>
    <x v="2"/>
    <s v="Accessories"/>
    <n v="426.65"/>
    <n v="3"/>
    <n v="0.25"/>
    <n v="0.26"/>
    <s v="South"/>
    <s v="CUST0064"/>
    <n v="1279.9499999999998"/>
  </r>
  <r>
    <n v="209"/>
    <x v="64"/>
    <x v="5"/>
    <s v="Electronics"/>
    <n v="875.36"/>
    <n v="2"/>
    <n v="0.17"/>
    <n v="0.3"/>
    <s v="West"/>
    <s v="CUST0112"/>
    <n v="1750.72"/>
  </r>
  <r>
    <n v="210"/>
    <x v="158"/>
    <x v="2"/>
    <s v="Accessories"/>
    <n v="329.47"/>
    <n v="2"/>
    <n v="0.04"/>
    <n v="0.18"/>
    <s v="South"/>
    <s v="CUST0246"/>
    <n v="658.94"/>
  </r>
  <r>
    <n v="211"/>
    <x v="138"/>
    <x v="5"/>
    <s v="Electronics"/>
    <n v="1313.99"/>
    <n v="2"/>
    <n v="0.18"/>
    <n v="0.3"/>
    <s v="East"/>
    <s v="CUST0102"/>
    <n v="2627.98"/>
  </r>
  <r>
    <n v="212"/>
    <x v="159"/>
    <x v="4"/>
    <s v="Electronics"/>
    <n v="1261.21"/>
    <n v="5"/>
    <n v="0.11"/>
    <n v="0.26"/>
    <s v="South"/>
    <s v="CUST0222"/>
    <n v="6306.05"/>
  </r>
  <r>
    <n v="213"/>
    <x v="160"/>
    <x v="5"/>
    <s v="Electronics"/>
    <n v="546.96"/>
    <n v="3"/>
    <n v="0.06"/>
    <n v="0.13"/>
    <s v="South"/>
    <s v="CUST0294"/>
    <n v="1640.88"/>
  </r>
  <r>
    <n v="214"/>
    <x v="161"/>
    <x v="5"/>
    <s v="Electronics"/>
    <n v="125.67"/>
    <n v="3"/>
    <n v="0.09"/>
    <n v="0.21"/>
    <s v="East"/>
    <s v="CUST0101"/>
    <n v="377.01"/>
  </r>
  <r>
    <n v="215"/>
    <x v="42"/>
    <x v="3"/>
    <s v="Accessories"/>
    <n v="1089.26"/>
    <n v="3"/>
    <n v="0.28000000000000003"/>
    <n v="0.22"/>
    <s v="South"/>
    <s v="CUST0066"/>
    <n v="3267.7799999999997"/>
  </r>
  <r>
    <n v="216"/>
    <x v="62"/>
    <x v="5"/>
    <s v="Electronics"/>
    <n v="1406.82"/>
    <n v="5"/>
    <n v="0.15"/>
    <n v="0.18"/>
    <s v="East"/>
    <s v="CUST0224"/>
    <n v="7034.0999999999995"/>
  </r>
  <r>
    <n v="217"/>
    <x v="117"/>
    <x v="0"/>
    <s v="Electronics"/>
    <n v="411.84"/>
    <n v="3"/>
    <n v="0.25"/>
    <n v="0.35"/>
    <s v="East"/>
    <s v="CUST0057"/>
    <n v="1235.52"/>
  </r>
  <r>
    <n v="218"/>
    <x v="162"/>
    <x v="4"/>
    <s v="Electronics"/>
    <n v="253.14"/>
    <n v="1"/>
    <n v="0.23"/>
    <n v="0.13"/>
    <s v="West"/>
    <s v="CUST0206"/>
    <n v="253.14"/>
  </r>
  <r>
    <n v="219"/>
    <x v="20"/>
    <x v="4"/>
    <s v="Electronics"/>
    <n v="543.52"/>
    <n v="1"/>
    <n v="0.15"/>
    <n v="0.31"/>
    <s v="East"/>
    <s v="CUST0094"/>
    <n v="543.52"/>
  </r>
  <r>
    <n v="220"/>
    <x v="163"/>
    <x v="1"/>
    <s v="Accessories"/>
    <n v="703.03"/>
    <n v="3"/>
    <n v="0.25"/>
    <n v="0.34"/>
    <s v="South"/>
    <s v="CUST0143"/>
    <n v="2109.09"/>
  </r>
  <r>
    <n v="221"/>
    <x v="164"/>
    <x v="0"/>
    <s v="Electronics"/>
    <n v="1452.36"/>
    <n v="2"/>
    <n v="0.03"/>
    <n v="0.19"/>
    <s v="South"/>
    <s v="CUST0080"/>
    <n v="2904.72"/>
  </r>
  <r>
    <n v="222"/>
    <x v="165"/>
    <x v="4"/>
    <s v="Electronics"/>
    <n v="226.81"/>
    <n v="2"/>
    <n v="0.21"/>
    <n v="0.26"/>
    <s v="West"/>
    <s v="CUST0182"/>
    <n v="453.62"/>
  </r>
  <r>
    <n v="223"/>
    <x v="12"/>
    <x v="4"/>
    <s v="Electronics"/>
    <n v="824.3"/>
    <n v="3"/>
    <n v="0.22"/>
    <n v="0.34"/>
    <s v="East"/>
    <s v="CUST0009"/>
    <n v="2472.8999999999996"/>
  </r>
  <r>
    <n v="224"/>
    <x v="166"/>
    <x v="5"/>
    <s v="Electronics"/>
    <n v="1093.05"/>
    <n v="1"/>
    <n v="0.27"/>
    <n v="0.28999999999999998"/>
    <s v="West"/>
    <s v="CUST0179"/>
    <n v="1093.05"/>
  </r>
  <r>
    <n v="225"/>
    <x v="167"/>
    <x v="0"/>
    <s v="Electronics"/>
    <n v="1481.81"/>
    <n v="5"/>
    <n v="0.2"/>
    <n v="0.11"/>
    <s v="West"/>
    <s v="CUST0258"/>
    <n v="7409.0499999999993"/>
  </r>
  <r>
    <n v="226"/>
    <x v="168"/>
    <x v="3"/>
    <s v="Accessories"/>
    <n v="1389.74"/>
    <n v="2"/>
    <n v="0.17"/>
    <n v="0.37"/>
    <s v="North"/>
    <s v="CUST0133"/>
    <n v="2779.48"/>
  </r>
  <r>
    <n v="227"/>
    <x v="169"/>
    <x v="1"/>
    <s v="Accessories"/>
    <n v="202.77"/>
    <n v="1"/>
    <n v="0.06"/>
    <n v="0.13"/>
    <s v="West"/>
    <s v="CUST0109"/>
    <n v="202.77"/>
  </r>
  <r>
    <n v="228"/>
    <x v="170"/>
    <x v="5"/>
    <s v="Electronics"/>
    <n v="1417.79"/>
    <n v="2"/>
    <n v="0.22"/>
    <n v="0.12"/>
    <s v="North"/>
    <s v="CUST0158"/>
    <n v="2835.58"/>
  </r>
  <r>
    <n v="229"/>
    <x v="6"/>
    <x v="0"/>
    <s v="Electronics"/>
    <n v="79.59"/>
    <n v="3"/>
    <n v="0.17"/>
    <n v="0.24"/>
    <s v="East"/>
    <s v="CUST0232"/>
    <n v="238.77"/>
  </r>
  <r>
    <n v="230"/>
    <x v="137"/>
    <x v="5"/>
    <s v="Electronics"/>
    <n v="1052.03"/>
    <n v="2"/>
    <n v="0.22"/>
    <n v="0.12"/>
    <s v="South"/>
    <s v="CUST0290"/>
    <n v="2104.06"/>
  </r>
  <r>
    <n v="231"/>
    <x v="146"/>
    <x v="1"/>
    <s v="Accessories"/>
    <n v="1210.8699999999999"/>
    <n v="4"/>
    <n v="0.24"/>
    <n v="0.2"/>
    <s v="South"/>
    <s v="CUST0080"/>
    <n v="4843.4799999999996"/>
  </r>
  <r>
    <n v="232"/>
    <x v="171"/>
    <x v="3"/>
    <s v="Accessories"/>
    <n v="792.25"/>
    <n v="5"/>
    <n v="0.18"/>
    <n v="0.17"/>
    <s v="North"/>
    <s v="CUST0144"/>
    <n v="3961.25"/>
  </r>
  <r>
    <n v="233"/>
    <x v="139"/>
    <x v="5"/>
    <s v="Electronics"/>
    <n v="706.37"/>
    <n v="2"/>
    <n v="0.01"/>
    <n v="0.36"/>
    <s v="East"/>
    <s v="CUST0130"/>
    <n v="1412.74"/>
  </r>
  <r>
    <n v="234"/>
    <x v="172"/>
    <x v="4"/>
    <s v="Electronics"/>
    <n v="591.35"/>
    <n v="3"/>
    <n v="0.02"/>
    <n v="0.1"/>
    <s v="East"/>
    <s v="CUST0128"/>
    <n v="1774.0500000000002"/>
  </r>
  <r>
    <n v="235"/>
    <x v="63"/>
    <x v="4"/>
    <s v="Electronics"/>
    <n v="1156.5999999999999"/>
    <n v="5"/>
    <n v="0.01"/>
    <n v="0.24"/>
    <s v="North"/>
    <s v="CUST0212"/>
    <n v="5783"/>
  </r>
  <r>
    <n v="236"/>
    <x v="173"/>
    <x v="5"/>
    <s v="Electronics"/>
    <n v="1313.67"/>
    <n v="1"/>
    <n v="0.23"/>
    <n v="0.23"/>
    <s v="East"/>
    <s v="CUST0174"/>
    <n v="1313.67"/>
  </r>
  <r>
    <n v="237"/>
    <x v="56"/>
    <x v="2"/>
    <s v="Accessories"/>
    <n v="795.72"/>
    <n v="1"/>
    <n v="7.0000000000000007E-2"/>
    <n v="0.13"/>
    <s v="West"/>
    <s v="CUST0189"/>
    <n v="795.72"/>
  </r>
  <r>
    <n v="238"/>
    <x v="44"/>
    <x v="1"/>
    <s v="Accessories"/>
    <n v="463.08"/>
    <n v="2"/>
    <n v="0.09"/>
    <n v="0.17"/>
    <s v="East"/>
    <s v="CUST0233"/>
    <n v="926.16"/>
  </r>
  <r>
    <n v="239"/>
    <x v="164"/>
    <x v="1"/>
    <s v="Accessories"/>
    <n v="433.97"/>
    <n v="5"/>
    <n v="0.3"/>
    <n v="0.23"/>
    <s v="North"/>
    <s v="CUST0108"/>
    <n v="2169.8500000000004"/>
  </r>
  <r>
    <n v="240"/>
    <x v="174"/>
    <x v="2"/>
    <s v="Accessories"/>
    <n v="602.65"/>
    <n v="4"/>
    <n v="7.0000000000000007E-2"/>
    <n v="0.38"/>
    <s v="South"/>
    <s v="CUST0058"/>
    <n v="2410.6"/>
  </r>
  <r>
    <n v="241"/>
    <x v="143"/>
    <x v="5"/>
    <s v="Electronics"/>
    <n v="407"/>
    <n v="4"/>
    <n v="0.13"/>
    <n v="0.36"/>
    <s v="East"/>
    <s v="CUST0208"/>
    <n v="1628"/>
  </r>
  <r>
    <n v="242"/>
    <x v="175"/>
    <x v="3"/>
    <s v="Accessories"/>
    <n v="911.18"/>
    <n v="5"/>
    <n v="0.3"/>
    <n v="0.32"/>
    <s v="North"/>
    <s v="CUST0252"/>
    <n v="4555.8999999999996"/>
  </r>
  <r>
    <n v="243"/>
    <x v="176"/>
    <x v="5"/>
    <s v="Electronics"/>
    <n v="366.72"/>
    <n v="4"/>
    <n v="0.25"/>
    <n v="0.17"/>
    <s v="East"/>
    <s v="CUST0031"/>
    <n v="1466.88"/>
  </r>
  <r>
    <n v="244"/>
    <x v="177"/>
    <x v="3"/>
    <s v="Accessories"/>
    <n v="781.22"/>
    <n v="2"/>
    <n v="0.01"/>
    <n v="0.22"/>
    <s v="West"/>
    <s v="CUST0192"/>
    <n v="1562.44"/>
  </r>
  <r>
    <n v="245"/>
    <x v="149"/>
    <x v="1"/>
    <s v="Accessories"/>
    <n v="1436.97"/>
    <n v="5"/>
    <n v="0.02"/>
    <n v="0.39"/>
    <s v="South"/>
    <s v="CUST0137"/>
    <n v="7184.85"/>
  </r>
  <r>
    <n v="246"/>
    <x v="178"/>
    <x v="0"/>
    <s v="Electronics"/>
    <n v="789.43"/>
    <n v="4"/>
    <n v="0.3"/>
    <n v="0.15"/>
    <s v="South"/>
    <s v="CUST0035"/>
    <n v="3157.72"/>
  </r>
  <r>
    <n v="247"/>
    <x v="179"/>
    <x v="0"/>
    <s v="Electronics"/>
    <n v="749.5"/>
    <n v="1"/>
    <n v="0.05"/>
    <n v="0.34"/>
    <s v="South"/>
    <s v="CUST0286"/>
    <n v="749.5"/>
  </r>
  <r>
    <n v="248"/>
    <x v="99"/>
    <x v="1"/>
    <s v="Accessories"/>
    <n v="355.13"/>
    <n v="1"/>
    <n v="0.18"/>
    <n v="0.27"/>
    <s v="East"/>
    <s v="CUST0245"/>
    <n v="355.13"/>
  </r>
  <r>
    <n v="249"/>
    <x v="112"/>
    <x v="4"/>
    <s v="Electronics"/>
    <n v="699.71"/>
    <n v="3"/>
    <n v="0.08"/>
    <n v="0.24"/>
    <s v="South"/>
    <s v="CUST0171"/>
    <n v="2099.13"/>
  </r>
  <r>
    <n v="250"/>
    <x v="180"/>
    <x v="1"/>
    <s v="Accessories"/>
    <n v="1434.59"/>
    <n v="4"/>
    <n v="0.01"/>
    <n v="0.2"/>
    <s v="North"/>
    <s v="CUST0220"/>
    <n v="5738.36"/>
  </r>
  <r>
    <n v="251"/>
    <x v="128"/>
    <x v="1"/>
    <s v="Accessories"/>
    <n v="837.51"/>
    <n v="3"/>
    <n v="0.08"/>
    <n v="0.18"/>
    <s v="East"/>
    <s v="CUST0110"/>
    <n v="2512.5299999999997"/>
  </r>
  <r>
    <n v="252"/>
    <x v="181"/>
    <x v="2"/>
    <s v="Accessories"/>
    <n v="408.14"/>
    <n v="5"/>
    <n v="0.01"/>
    <n v="0.26"/>
    <s v="East"/>
    <s v="CUST0130"/>
    <n v="2040.6999999999998"/>
  </r>
  <r>
    <n v="253"/>
    <x v="182"/>
    <x v="1"/>
    <s v="Accessories"/>
    <n v="349.77"/>
    <n v="5"/>
    <n v="0.27"/>
    <n v="0.4"/>
    <s v="West"/>
    <s v="CUST0100"/>
    <n v="1748.85"/>
  </r>
  <r>
    <n v="254"/>
    <x v="124"/>
    <x v="0"/>
    <s v="Electronics"/>
    <n v="755.34"/>
    <n v="5"/>
    <n v="0.27"/>
    <n v="0.27"/>
    <s v="East"/>
    <s v="CUST0180"/>
    <n v="3776.7000000000003"/>
  </r>
  <r>
    <n v="255"/>
    <x v="183"/>
    <x v="3"/>
    <s v="Accessories"/>
    <n v="1025.07"/>
    <n v="3"/>
    <n v="0.26"/>
    <n v="0.32"/>
    <s v="South"/>
    <s v="CUST0223"/>
    <n v="3075.21"/>
  </r>
  <r>
    <n v="256"/>
    <x v="45"/>
    <x v="5"/>
    <s v="Electronics"/>
    <n v="1201.2"/>
    <n v="4"/>
    <n v="0.26"/>
    <n v="0.36"/>
    <s v="West"/>
    <s v="CUST0166"/>
    <n v="4804.8"/>
  </r>
  <r>
    <n v="257"/>
    <x v="184"/>
    <x v="0"/>
    <s v="Electronics"/>
    <n v="517.66"/>
    <n v="5"/>
    <n v="0.21"/>
    <n v="0.3"/>
    <s v="East"/>
    <s v="CUST0087"/>
    <n v="2588.2999999999997"/>
  </r>
  <r>
    <n v="258"/>
    <x v="58"/>
    <x v="1"/>
    <s v="Accessories"/>
    <n v="1056.01"/>
    <n v="4"/>
    <n v="0.05"/>
    <n v="0.36"/>
    <s v="North"/>
    <s v="CUST0249"/>
    <n v="4224.04"/>
  </r>
  <r>
    <n v="259"/>
    <x v="185"/>
    <x v="0"/>
    <s v="Electronics"/>
    <n v="711.57"/>
    <n v="2"/>
    <n v="0.04"/>
    <n v="0.2"/>
    <s v="West"/>
    <s v="CUST0046"/>
    <n v="1423.14"/>
  </r>
  <r>
    <n v="260"/>
    <x v="165"/>
    <x v="4"/>
    <s v="Electronics"/>
    <n v="1365.33"/>
    <n v="2"/>
    <n v="0.25"/>
    <n v="0.35"/>
    <s v="West"/>
    <s v="CUST0288"/>
    <n v="2730.66"/>
  </r>
  <r>
    <n v="261"/>
    <x v="48"/>
    <x v="2"/>
    <s v="Accessories"/>
    <n v="34.42"/>
    <n v="5"/>
    <n v="0.19"/>
    <n v="0.39"/>
    <s v="East"/>
    <s v="CUST0201"/>
    <n v="172.10000000000002"/>
  </r>
  <r>
    <n v="262"/>
    <x v="186"/>
    <x v="1"/>
    <s v="Accessories"/>
    <n v="195.87"/>
    <n v="2"/>
    <n v="0.19"/>
    <n v="0.26"/>
    <s v="North"/>
    <s v="CUST0054"/>
    <n v="391.74"/>
  </r>
  <r>
    <n v="263"/>
    <x v="31"/>
    <x v="0"/>
    <s v="Electronics"/>
    <n v="214.46"/>
    <n v="3"/>
    <n v="0.23"/>
    <n v="0.26"/>
    <s v="West"/>
    <s v="CUST0217"/>
    <n v="643.38"/>
  </r>
  <r>
    <n v="264"/>
    <x v="157"/>
    <x v="4"/>
    <s v="Electronics"/>
    <n v="1264.18"/>
    <n v="4"/>
    <n v="0.19"/>
    <n v="0.38"/>
    <s v="North"/>
    <s v="CUST0196"/>
    <n v="5056.72"/>
  </r>
  <r>
    <n v="265"/>
    <x v="48"/>
    <x v="1"/>
    <s v="Accessories"/>
    <n v="1407.41"/>
    <n v="4"/>
    <n v="0.02"/>
    <n v="0.19"/>
    <s v="North"/>
    <s v="CUST0281"/>
    <n v="5629.64"/>
  </r>
  <r>
    <n v="266"/>
    <x v="187"/>
    <x v="3"/>
    <s v="Accessories"/>
    <n v="1162.2"/>
    <n v="1"/>
    <n v="0.17"/>
    <n v="0.2"/>
    <s v="East"/>
    <s v="CUST0214"/>
    <n v="1162.2"/>
  </r>
  <r>
    <n v="267"/>
    <x v="66"/>
    <x v="5"/>
    <s v="Electronics"/>
    <n v="92.47"/>
    <n v="2"/>
    <n v="0.3"/>
    <n v="0.3"/>
    <s v="South"/>
    <s v="CUST0011"/>
    <n v="184.94"/>
  </r>
  <r>
    <n v="268"/>
    <x v="172"/>
    <x v="4"/>
    <s v="Electronics"/>
    <n v="1130.74"/>
    <n v="3"/>
    <n v="0.18"/>
    <n v="0.22"/>
    <s v="East"/>
    <s v="CUST0274"/>
    <n v="3392.2200000000003"/>
  </r>
  <r>
    <n v="269"/>
    <x v="188"/>
    <x v="1"/>
    <s v="Accessories"/>
    <n v="57.63"/>
    <n v="3"/>
    <n v="0.08"/>
    <n v="0.1"/>
    <s v="West"/>
    <s v="CUST0071"/>
    <n v="172.89000000000001"/>
  </r>
  <r>
    <n v="270"/>
    <x v="189"/>
    <x v="4"/>
    <s v="Electronics"/>
    <n v="1495.76"/>
    <n v="1"/>
    <n v="0.03"/>
    <n v="0.36"/>
    <s v="South"/>
    <s v="CUST0256"/>
    <n v="1495.76"/>
  </r>
  <r>
    <n v="271"/>
    <x v="5"/>
    <x v="2"/>
    <s v="Accessories"/>
    <n v="1197.3399999999999"/>
    <n v="5"/>
    <n v="0.09"/>
    <n v="0.35"/>
    <s v="East"/>
    <s v="CUST0077"/>
    <n v="5986.7"/>
  </r>
  <r>
    <n v="272"/>
    <x v="121"/>
    <x v="4"/>
    <s v="Electronics"/>
    <n v="1028.74"/>
    <n v="3"/>
    <n v="0.08"/>
    <n v="0.39"/>
    <s v="West"/>
    <s v="CUST0102"/>
    <n v="3086.2200000000003"/>
  </r>
  <r>
    <n v="273"/>
    <x v="78"/>
    <x v="0"/>
    <s v="Electronics"/>
    <n v="71.17"/>
    <n v="5"/>
    <n v="0.28000000000000003"/>
    <n v="0.23"/>
    <s v="West"/>
    <s v="CUST0262"/>
    <n v="355.85"/>
  </r>
  <r>
    <n v="274"/>
    <x v="51"/>
    <x v="1"/>
    <s v="Accessories"/>
    <n v="611.45000000000005"/>
    <n v="1"/>
    <n v="0.13"/>
    <n v="0.19"/>
    <s v="West"/>
    <s v="CUST0158"/>
    <n v="611.45000000000005"/>
  </r>
  <r>
    <n v="275"/>
    <x v="190"/>
    <x v="3"/>
    <s v="Accessories"/>
    <n v="1343.8"/>
    <n v="2"/>
    <n v="0.06"/>
    <n v="0.11"/>
    <s v="West"/>
    <s v="CUST0049"/>
    <n v="2687.6"/>
  </r>
  <r>
    <n v="276"/>
    <x v="191"/>
    <x v="4"/>
    <s v="Electronics"/>
    <n v="1079.51"/>
    <n v="2"/>
    <n v="0.26"/>
    <n v="0.24"/>
    <s v="South"/>
    <s v="CUST0075"/>
    <n v="2159.02"/>
  </r>
  <r>
    <n v="277"/>
    <x v="192"/>
    <x v="2"/>
    <s v="Accessories"/>
    <n v="259.89"/>
    <n v="1"/>
    <n v="0.26"/>
    <n v="0.33"/>
    <s v="West"/>
    <s v="CUST0209"/>
    <n v="259.89"/>
  </r>
  <r>
    <n v="278"/>
    <x v="193"/>
    <x v="3"/>
    <s v="Accessories"/>
    <n v="694.2"/>
    <n v="2"/>
    <n v="0.23"/>
    <n v="0.28999999999999998"/>
    <s v="South"/>
    <s v="CUST0233"/>
    <n v="1388.4"/>
  </r>
  <r>
    <n v="279"/>
    <x v="44"/>
    <x v="5"/>
    <s v="Electronics"/>
    <n v="1369.96"/>
    <n v="2"/>
    <n v="0.18"/>
    <n v="0.34"/>
    <s v="West"/>
    <s v="CUST0025"/>
    <n v="2739.92"/>
  </r>
  <r>
    <n v="280"/>
    <x v="41"/>
    <x v="3"/>
    <s v="Accessories"/>
    <n v="26.82"/>
    <n v="1"/>
    <n v="0.18"/>
    <n v="0.17"/>
    <s v="West"/>
    <s v="CUST0179"/>
    <n v="26.82"/>
  </r>
  <r>
    <n v="281"/>
    <x v="87"/>
    <x v="3"/>
    <s v="Accessories"/>
    <n v="320.77"/>
    <n v="1"/>
    <n v="0.05"/>
    <n v="0.3"/>
    <s v="East"/>
    <s v="CUST0162"/>
    <n v="320.77"/>
  </r>
  <r>
    <n v="282"/>
    <x v="194"/>
    <x v="1"/>
    <s v="Accessories"/>
    <n v="895.64"/>
    <n v="3"/>
    <n v="0.3"/>
    <n v="0.14000000000000001"/>
    <s v="South"/>
    <s v="CUST0298"/>
    <n v="2686.92"/>
  </r>
  <r>
    <n v="283"/>
    <x v="195"/>
    <x v="0"/>
    <s v="Electronics"/>
    <n v="131.86000000000001"/>
    <n v="2"/>
    <n v="0.14000000000000001"/>
    <n v="0.28000000000000003"/>
    <s v="North"/>
    <s v="CUST0222"/>
    <n v="263.72000000000003"/>
  </r>
  <r>
    <n v="284"/>
    <x v="196"/>
    <x v="2"/>
    <s v="Accessories"/>
    <n v="994.05"/>
    <n v="1"/>
    <n v="0.26"/>
    <n v="0.33"/>
    <s v="East"/>
    <s v="CUST0095"/>
    <n v="994.05"/>
  </r>
  <r>
    <n v="285"/>
    <x v="197"/>
    <x v="1"/>
    <s v="Accessories"/>
    <n v="733.75"/>
    <n v="1"/>
    <n v="7.0000000000000007E-2"/>
    <n v="0.4"/>
    <s v="West"/>
    <s v="CUST0258"/>
    <n v="733.75"/>
  </r>
  <r>
    <n v="286"/>
    <x v="198"/>
    <x v="1"/>
    <s v="Accessories"/>
    <n v="52.09"/>
    <n v="4"/>
    <n v="0.21"/>
    <n v="0.27"/>
    <s v="East"/>
    <s v="CUST0291"/>
    <n v="208.36"/>
  </r>
  <r>
    <n v="287"/>
    <x v="199"/>
    <x v="0"/>
    <s v="Electronics"/>
    <n v="506.53"/>
    <n v="2"/>
    <n v="0.16"/>
    <n v="0.36"/>
    <s v="North"/>
    <s v="CUST0010"/>
    <n v="1013.06"/>
  </r>
  <r>
    <n v="288"/>
    <x v="113"/>
    <x v="2"/>
    <s v="Accessories"/>
    <n v="140.9"/>
    <n v="2"/>
    <n v="0.28999999999999998"/>
    <n v="0.16"/>
    <s v="North"/>
    <s v="CUST0087"/>
    <n v="281.8"/>
  </r>
  <r>
    <n v="289"/>
    <x v="200"/>
    <x v="2"/>
    <s v="Accessories"/>
    <n v="1205.8699999999999"/>
    <n v="2"/>
    <n v="0.01"/>
    <n v="0.3"/>
    <s v="South"/>
    <s v="CUST0088"/>
    <n v="2411.7399999999998"/>
  </r>
  <r>
    <n v="290"/>
    <x v="201"/>
    <x v="4"/>
    <s v="Electronics"/>
    <n v="963.73"/>
    <n v="3"/>
    <n v="0.27"/>
    <n v="0.28000000000000003"/>
    <s v="East"/>
    <s v="CUST0122"/>
    <n v="2891.19"/>
  </r>
  <r>
    <n v="291"/>
    <x v="178"/>
    <x v="3"/>
    <s v="Accessories"/>
    <n v="101.66"/>
    <n v="1"/>
    <n v="0.21"/>
    <n v="0.36"/>
    <s v="East"/>
    <s v="CUST0198"/>
    <n v="101.66"/>
  </r>
  <r>
    <n v="292"/>
    <x v="202"/>
    <x v="1"/>
    <s v="Accessories"/>
    <n v="947.32"/>
    <n v="4"/>
    <n v="0.1"/>
    <n v="0.34"/>
    <s v="South"/>
    <s v="CUST0154"/>
    <n v="3789.28"/>
  </r>
  <r>
    <n v="293"/>
    <x v="203"/>
    <x v="5"/>
    <s v="Electronics"/>
    <n v="999.71"/>
    <n v="4"/>
    <n v="0.18"/>
    <n v="0.34"/>
    <s v="West"/>
    <s v="CUST0102"/>
    <n v="3998.84"/>
  </r>
  <r>
    <n v="294"/>
    <x v="165"/>
    <x v="3"/>
    <s v="Accessories"/>
    <n v="85.11"/>
    <n v="4"/>
    <n v="0.22"/>
    <n v="0.12"/>
    <s v="South"/>
    <s v="CUST0043"/>
    <n v="340.44"/>
  </r>
  <r>
    <n v="295"/>
    <x v="36"/>
    <x v="0"/>
    <s v="Electronics"/>
    <n v="389.48"/>
    <n v="5"/>
    <n v="0.14000000000000001"/>
    <n v="0.28000000000000003"/>
    <s v="East"/>
    <s v="CUST0146"/>
    <n v="1947.4"/>
  </r>
  <r>
    <n v="296"/>
    <x v="132"/>
    <x v="0"/>
    <s v="Electronics"/>
    <n v="1464.4"/>
    <n v="4"/>
    <n v="0.22"/>
    <n v="0.36"/>
    <s v="South"/>
    <s v="CUST0214"/>
    <n v="5857.6"/>
  </r>
  <r>
    <n v="297"/>
    <x v="150"/>
    <x v="4"/>
    <s v="Electronics"/>
    <n v="996.59"/>
    <n v="3"/>
    <n v="0.05"/>
    <n v="0.11"/>
    <s v="North"/>
    <s v="CUST0281"/>
    <n v="2989.77"/>
  </r>
  <r>
    <n v="298"/>
    <x v="176"/>
    <x v="1"/>
    <s v="Accessories"/>
    <n v="361.97"/>
    <n v="1"/>
    <n v="0.15"/>
    <n v="0.12"/>
    <s v="North"/>
    <s v="CUST0150"/>
    <n v="361.97"/>
  </r>
  <r>
    <n v="299"/>
    <x v="204"/>
    <x v="0"/>
    <s v="Electronics"/>
    <n v="1028.3399999999999"/>
    <n v="5"/>
    <n v="0.13"/>
    <n v="0.16"/>
    <s v="North"/>
    <s v="CUST0197"/>
    <n v="5141.7"/>
  </r>
  <r>
    <n v="300"/>
    <x v="141"/>
    <x v="5"/>
    <s v="Electronics"/>
    <n v="281.94"/>
    <n v="5"/>
    <n v="0.22"/>
    <n v="0.32"/>
    <s v="East"/>
    <s v="CUST0044"/>
    <n v="1409.7"/>
  </r>
  <r>
    <n v="301"/>
    <x v="205"/>
    <x v="4"/>
    <s v="Electronics"/>
    <n v="535.25"/>
    <n v="4"/>
    <n v="0.23"/>
    <n v="0.25"/>
    <s v="East"/>
    <s v="CUST0217"/>
    <n v="2141"/>
  </r>
  <r>
    <n v="302"/>
    <x v="206"/>
    <x v="1"/>
    <s v="Accessories"/>
    <n v="1303.8699999999999"/>
    <n v="1"/>
    <n v="0.13"/>
    <n v="0.32"/>
    <s v="West"/>
    <s v="CUST0046"/>
    <n v="1303.8699999999999"/>
  </r>
  <r>
    <n v="303"/>
    <x v="176"/>
    <x v="2"/>
    <s v="Accessories"/>
    <n v="1313.3"/>
    <n v="2"/>
    <n v="0.24"/>
    <n v="0.3"/>
    <s v="West"/>
    <s v="CUST0101"/>
    <n v="2626.6"/>
  </r>
  <r>
    <n v="304"/>
    <x v="124"/>
    <x v="3"/>
    <s v="Accessories"/>
    <n v="898.72"/>
    <n v="5"/>
    <n v="0.06"/>
    <n v="0.28999999999999998"/>
    <s v="East"/>
    <s v="CUST0299"/>
    <n v="4493.6000000000004"/>
  </r>
  <r>
    <n v="305"/>
    <x v="34"/>
    <x v="2"/>
    <s v="Accessories"/>
    <n v="1258.0999999999999"/>
    <n v="1"/>
    <n v="0.04"/>
    <n v="0.31"/>
    <s v="East"/>
    <s v="CUST0104"/>
    <n v="1258.0999999999999"/>
  </r>
  <r>
    <n v="306"/>
    <x v="141"/>
    <x v="0"/>
    <s v="Electronics"/>
    <n v="912.74"/>
    <n v="2"/>
    <n v="7.0000000000000007E-2"/>
    <n v="0.39"/>
    <s v="West"/>
    <s v="CUST0204"/>
    <n v="1825.48"/>
  </r>
  <r>
    <n v="307"/>
    <x v="118"/>
    <x v="2"/>
    <s v="Accessories"/>
    <n v="1285.22"/>
    <n v="5"/>
    <n v="0.13"/>
    <n v="0.13"/>
    <s v="East"/>
    <s v="CUST0294"/>
    <n v="6426.1"/>
  </r>
  <r>
    <n v="308"/>
    <x v="207"/>
    <x v="2"/>
    <s v="Accessories"/>
    <n v="899.55"/>
    <n v="1"/>
    <n v="0.2"/>
    <n v="0.13"/>
    <s v="South"/>
    <s v="CUST0112"/>
    <n v="899.55"/>
  </r>
  <r>
    <n v="309"/>
    <x v="208"/>
    <x v="0"/>
    <s v="Electronics"/>
    <n v="601.85"/>
    <n v="1"/>
    <n v="0.12"/>
    <n v="0.36"/>
    <s v="North"/>
    <s v="CUST0075"/>
    <n v="601.85"/>
  </r>
  <r>
    <n v="310"/>
    <x v="88"/>
    <x v="4"/>
    <s v="Electronics"/>
    <n v="504.66"/>
    <n v="4"/>
    <n v="0.04"/>
    <n v="0.39"/>
    <s v="East"/>
    <s v="CUST0094"/>
    <n v="2018.64"/>
  </r>
  <r>
    <n v="311"/>
    <x v="73"/>
    <x v="1"/>
    <s v="Accessories"/>
    <n v="371.14"/>
    <n v="2"/>
    <n v="0.02"/>
    <n v="0.15"/>
    <s v="East"/>
    <s v="CUST0123"/>
    <n v="742.28"/>
  </r>
  <r>
    <n v="312"/>
    <x v="209"/>
    <x v="4"/>
    <s v="Electronics"/>
    <n v="522.08000000000004"/>
    <n v="1"/>
    <n v="0.13"/>
    <n v="0.17"/>
    <s v="West"/>
    <s v="CUST0300"/>
    <n v="522.08000000000004"/>
  </r>
  <r>
    <n v="313"/>
    <x v="210"/>
    <x v="3"/>
    <s v="Accessories"/>
    <n v="1424.16"/>
    <n v="1"/>
    <n v="0.05"/>
    <n v="0.15"/>
    <s v="North"/>
    <s v="CUST0068"/>
    <n v="1424.16"/>
  </r>
  <r>
    <n v="314"/>
    <x v="187"/>
    <x v="2"/>
    <s v="Accessories"/>
    <n v="918.17"/>
    <n v="5"/>
    <n v="0.16"/>
    <n v="0.33"/>
    <s v="North"/>
    <s v="CUST0170"/>
    <n v="4590.8499999999995"/>
  </r>
  <r>
    <n v="315"/>
    <x v="211"/>
    <x v="1"/>
    <s v="Accessories"/>
    <n v="1213.3599999999999"/>
    <n v="4"/>
    <n v="0.26"/>
    <n v="0.27"/>
    <s v="North"/>
    <s v="CUST0261"/>
    <n v="4853.4399999999996"/>
  </r>
  <r>
    <n v="316"/>
    <x v="141"/>
    <x v="3"/>
    <s v="Accessories"/>
    <n v="190.08"/>
    <n v="2"/>
    <n v="0.3"/>
    <n v="0.14000000000000001"/>
    <s v="North"/>
    <s v="CUST0228"/>
    <n v="380.16"/>
  </r>
  <r>
    <n v="317"/>
    <x v="212"/>
    <x v="2"/>
    <s v="Accessories"/>
    <n v="1406.49"/>
    <n v="5"/>
    <n v="0.19"/>
    <n v="0.17"/>
    <s v="East"/>
    <s v="CUST0074"/>
    <n v="7032.45"/>
  </r>
  <r>
    <n v="318"/>
    <x v="213"/>
    <x v="0"/>
    <s v="Electronics"/>
    <n v="155.62"/>
    <n v="1"/>
    <n v="0.15"/>
    <n v="0.11"/>
    <s v="South"/>
    <s v="CUST0289"/>
    <n v="155.62"/>
  </r>
  <r>
    <n v="319"/>
    <x v="54"/>
    <x v="3"/>
    <s v="Accessories"/>
    <n v="1480.28"/>
    <n v="3"/>
    <n v="0"/>
    <n v="0.39"/>
    <s v="North"/>
    <s v="CUST0281"/>
    <n v="4440.84"/>
  </r>
  <r>
    <n v="320"/>
    <x v="8"/>
    <x v="2"/>
    <s v="Accessories"/>
    <n v="1460.32"/>
    <n v="3"/>
    <n v="0.15"/>
    <n v="0.3"/>
    <s v="East"/>
    <s v="CUST0043"/>
    <n v="4380.96"/>
  </r>
  <r>
    <n v="321"/>
    <x v="214"/>
    <x v="5"/>
    <s v="Electronics"/>
    <n v="210.47"/>
    <n v="5"/>
    <n v="0.04"/>
    <n v="0.38"/>
    <s v="North"/>
    <s v="CUST0165"/>
    <n v="1052.3499999999999"/>
  </r>
  <r>
    <n v="322"/>
    <x v="92"/>
    <x v="1"/>
    <s v="Accessories"/>
    <n v="1455.62"/>
    <n v="1"/>
    <n v="0.22"/>
    <n v="0.15"/>
    <s v="West"/>
    <s v="CUST0110"/>
    <n v="1455.62"/>
  </r>
  <r>
    <n v="323"/>
    <x v="182"/>
    <x v="3"/>
    <s v="Accessories"/>
    <n v="1305.51"/>
    <n v="2"/>
    <n v="0.2"/>
    <n v="0.39"/>
    <s v="West"/>
    <s v="CUST0253"/>
    <n v="2611.02"/>
  </r>
  <r>
    <n v="324"/>
    <x v="64"/>
    <x v="0"/>
    <s v="Electronics"/>
    <n v="385.12"/>
    <n v="2"/>
    <n v="0.26"/>
    <n v="0.27"/>
    <s v="South"/>
    <s v="CUST0045"/>
    <n v="770.24"/>
  </r>
  <r>
    <n v="325"/>
    <x v="36"/>
    <x v="1"/>
    <s v="Accessories"/>
    <n v="191.84"/>
    <n v="1"/>
    <n v="0.21"/>
    <n v="0.3"/>
    <s v="West"/>
    <s v="CUST0006"/>
    <n v="191.84"/>
  </r>
  <r>
    <n v="326"/>
    <x v="65"/>
    <x v="0"/>
    <s v="Electronics"/>
    <n v="1412.79"/>
    <n v="5"/>
    <n v="0.2"/>
    <n v="0.27"/>
    <s v="East"/>
    <s v="CUST0015"/>
    <n v="7063.95"/>
  </r>
  <r>
    <n v="327"/>
    <x v="179"/>
    <x v="2"/>
    <s v="Accessories"/>
    <n v="259.95"/>
    <n v="1"/>
    <n v="0.26"/>
    <n v="0.4"/>
    <s v="West"/>
    <s v="CUST0011"/>
    <n v="259.95"/>
  </r>
  <r>
    <n v="328"/>
    <x v="99"/>
    <x v="5"/>
    <s v="Electronics"/>
    <n v="1179.02"/>
    <n v="5"/>
    <n v="0.09"/>
    <n v="0.13"/>
    <s v="South"/>
    <s v="CUST0187"/>
    <n v="5895.1"/>
  </r>
  <r>
    <n v="329"/>
    <x v="96"/>
    <x v="3"/>
    <s v="Accessories"/>
    <n v="621.11"/>
    <n v="4"/>
    <n v="0.2"/>
    <n v="0.34"/>
    <s v="East"/>
    <s v="CUST0092"/>
    <n v="2484.44"/>
  </r>
  <r>
    <n v="330"/>
    <x v="215"/>
    <x v="4"/>
    <s v="Electronics"/>
    <n v="1319.89"/>
    <n v="3"/>
    <n v="0.26"/>
    <n v="0.21"/>
    <s v="East"/>
    <s v="CUST0032"/>
    <n v="3959.67"/>
  </r>
  <r>
    <n v="331"/>
    <x v="216"/>
    <x v="2"/>
    <s v="Accessories"/>
    <n v="982.39"/>
    <n v="5"/>
    <n v="0.1"/>
    <n v="0.21"/>
    <s v="South"/>
    <s v="CUST0148"/>
    <n v="4911.95"/>
  </r>
  <r>
    <n v="332"/>
    <x v="164"/>
    <x v="0"/>
    <s v="Electronics"/>
    <n v="856.07"/>
    <n v="3"/>
    <n v="0.12"/>
    <n v="0.23"/>
    <s v="East"/>
    <s v="CUST0120"/>
    <n v="2568.21"/>
  </r>
  <r>
    <n v="333"/>
    <x v="217"/>
    <x v="4"/>
    <s v="Electronics"/>
    <n v="829.89"/>
    <n v="3"/>
    <n v="7.0000000000000007E-2"/>
    <n v="0.12"/>
    <s v="South"/>
    <s v="CUST0061"/>
    <n v="2489.67"/>
  </r>
  <r>
    <n v="334"/>
    <x v="218"/>
    <x v="3"/>
    <s v="Accessories"/>
    <n v="273.45999999999998"/>
    <n v="2"/>
    <n v="0.23"/>
    <n v="0.25"/>
    <s v="West"/>
    <s v="CUST0072"/>
    <n v="546.91999999999996"/>
  </r>
  <r>
    <n v="335"/>
    <x v="219"/>
    <x v="3"/>
    <s v="Accessories"/>
    <n v="1298.42"/>
    <n v="2"/>
    <n v="0.14000000000000001"/>
    <n v="0.11"/>
    <s v="South"/>
    <s v="CUST0059"/>
    <n v="2596.84"/>
  </r>
  <r>
    <n v="336"/>
    <x v="125"/>
    <x v="2"/>
    <s v="Accessories"/>
    <n v="185.65"/>
    <n v="5"/>
    <n v="0.12"/>
    <n v="0.27"/>
    <s v="East"/>
    <s v="CUST0255"/>
    <n v="928.25"/>
  </r>
  <r>
    <n v="337"/>
    <x v="147"/>
    <x v="2"/>
    <s v="Accessories"/>
    <n v="728.13"/>
    <n v="3"/>
    <n v="0.23"/>
    <n v="0.34"/>
    <s v="West"/>
    <s v="CUST0134"/>
    <n v="2184.39"/>
  </r>
  <r>
    <n v="338"/>
    <x v="69"/>
    <x v="2"/>
    <s v="Accessories"/>
    <n v="1434.4"/>
    <n v="5"/>
    <n v="0.25"/>
    <n v="0.23"/>
    <s v="East"/>
    <s v="CUST0148"/>
    <n v="7172"/>
  </r>
  <r>
    <n v="339"/>
    <x v="142"/>
    <x v="4"/>
    <s v="Electronics"/>
    <n v="980.03"/>
    <n v="4"/>
    <n v="0.28999999999999998"/>
    <n v="0.3"/>
    <s v="South"/>
    <s v="CUST0150"/>
    <n v="3920.12"/>
  </r>
  <r>
    <n v="340"/>
    <x v="129"/>
    <x v="4"/>
    <s v="Electronics"/>
    <n v="113.89"/>
    <n v="5"/>
    <n v="0.14000000000000001"/>
    <n v="0.16"/>
    <s v="West"/>
    <s v="CUST0036"/>
    <n v="569.45000000000005"/>
  </r>
  <r>
    <n v="341"/>
    <x v="62"/>
    <x v="2"/>
    <s v="Accessories"/>
    <n v="741.66"/>
    <n v="5"/>
    <n v="0.09"/>
    <n v="0.19"/>
    <s v="North"/>
    <s v="CUST0121"/>
    <n v="3708.2999999999997"/>
  </r>
  <r>
    <n v="342"/>
    <x v="199"/>
    <x v="3"/>
    <s v="Accessories"/>
    <n v="810.08"/>
    <n v="2"/>
    <n v="0.18"/>
    <n v="0.31"/>
    <s v="South"/>
    <s v="CUST0130"/>
    <n v="1620.16"/>
  </r>
  <r>
    <n v="343"/>
    <x v="59"/>
    <x v="1"/>
    <s v="Accessories"/>
    <n v="634.98"/>
    <n v="1"/>
    <n v="0.16"/>
    <n v="0.14000000000000001"/>
    <s v="West"/>
    <s v="CUST0155"/>
    <n v="634.98"/>
  </r>
  <r>
    <n v="344"/>
    <x v="177"/>
    <x v="4"/>
    <s v="Electronics"/>
    <n v="292.62"/>
    <n v="5"/>
    <n v="0.06"/>
    <n v="0.19"/>
    <s v="South"/>
    <s v="CUST0002"/>
    <n v="1463.1"/>
  </r>
  <r>
    <n v="345"/>
    <x v="220"/>
    <x v="1"/>
    <s v="Accessories"/>
    <n v="861.79"/>
    <n v="2"/>
    <n v="0.28000000000000003"/>
    <n v="0.23"/>
    <s v="West"/>
    <s v="CUST0091"/>
    <n v="1723.58"/>
  </r>
  <r>
    <n v="346"/>
    <x v="139"/>
    <x v="1"/>
    <s v="Accessories"/>
    <n v="1228.23"/>
    <n v="4"/>
    <n v="0.01"/>
    <n v="0.28999999999999998"/>
    <s v="West"/>
    <s v="CUST0263"/>
    <n v="4912.92"/>
  </r>
  <r>
    <n v="347"/>
    <x v="41"/>
    <x v="2"/>
    <s v="Accessories"/>
    <n v="912.38"/>
    <n v="5"/>
    <n v="0.27"/>
    <n v="0.17"/>
    <s v="East"/>
    <s v="CUST0075"/>
    <n v="4561.8999999999996"/>
  </r>
  <r>
    <n v="348"/>
    <x v="42"/>
    <x v="4"/>
    <s v="Electronics"/>
    <n v="978.74"/>
    <n v="2"/>
    <n v="0.11"/>
    <n v="0.37"/>
    <s v="South"/>
    <s v="CUST0127"/>
    <n v="1957.48"/>
  </r>
  <r>
    <n v="349"/>
    <x v="42"/>
    <x v="0"/>
    <s v="Electronics"/>
    <n v="546.29999999999995"/>
    <n v="2"/>
    <n v="0.08"/>
    <n v="0.19"/>
    <s v="East"/>
    <s v="CUST0014"/>
    <n v="1092.5999999999999"/>
  </r>
  <r>
    <n v="350"/>
    <x v="93"/>
    <x v="0"/>
    <s v="Electronics"/>
    <n v="1238.3599999999999"/>
    <n v="4"/>
    <n v="0.2"/>
    <n v="0.34"/>
    <s v="North"/>
    <s v="CUST0018"/>
    <n v="4953.4399999999996"/>
  </r>
  <r>
    <n v="351"/>
    <x v="59"/>
    <x v="3"/>
    <s v="Accessories"/>
    <n v="245.81"/>
    <n v="2"/>
    <n v="0.05"/>
    <n v="0.17"/>
    <s v="East"/>
    <s v="CUST0043"/>
    <n v="491.62"/>
  </r>
  <r>
    <n v="352"/>
    <x v="221"/>
    <x v="4"/>
    <s v="Electronics"/>
    <n v="1297.6300000000001"/>
    <n v="5"/>
    <n v="0.03"/>
    <n v="0.11"/>
    <s v="West"/>
    <s v="CUST0053"/>
    <n v="6488.1500000000005"/>
  </r>
  <r>
    <n v="353"/>
    <x v="222"/>
    <x v="0"/>
    <s v="Electronics"/>
    <n v="364.61"/>
    <n v="3"/>
    <n v="7.0000000000000007E-2"/>
    <n v="0.22"/>
    <s v="West"/>
    <s v="CUST0197"/>
    <n v="1093.83"/>
  </r>
  <r>
    <n v="354"/>
    <x v="20"/>
    <x v="4"/>
    <s v="Electronics"/>
    <n v="234.12"/>
    <n v="3"/>
    <n v="0.18"/>
    <n v="0.3"/>
    <s v="South"/>
    <s v="CUST0017"/>
    <n v="702.36"/>
  </r>
  <r>
    <n v="355"/>
    <x v="223"/>
    <x v="5"/>
    <s v="Electronics"/>
    <n v="656.59"/>
    <n v="1"/>
    <n v="0.21"/>
    <n v="0.4"/>
    <s v="South"/>
    <s v="CUST0090"/>
    <n v="656.59"/>
  </r>
  <r>
    <n v="356"/>
    <x v="224"/>
    <x v="3"/>
    <s v="Accessories"/>
    <n v="1232.5899999999999"/>
    <n v="4"/>
    <n v="0.22"/>
    <n v="0.27"/>
    <s v="South"/>
    <s v="CUST0116"/>
    <n v="4930.3599999999997"/>
  </r>
  <r>
    <n v="357"/>
    <x v="201"/>
    <x v="5"/>
    <s v="Electronics"/>
    <n v="1164.6199999999999"/>
    <n v="4"/>
    <n v="0.03"/>
    <n v="0.37"/>
    <s v="North"/>
    <s v="CUST0029"/>
    <n v="4658.4799999999996"/>
  </r>
  <r>
    <n v="358"/>
    <x v="179"/>
    <x v="3"/>
    <s v="Accessories"/>
    <n v="501.97"/>
    <n v="3"/>
    <n v="0.1"/>
    <n v="0.28999999999999998"/>
    <s v="North"/>
    <s v="CUST0178"/>
    <n v="1505.91"/>
  </r>
  <r>
    <n v="359"/>
    <x v="197"/>
    <x v="3"/>
    <s v="Accessories"/>
    <n v="790.61"/>
    <n v="2"/>
    <n v="0.2"/>
    <n v="0.12"/>
    <s v="East"/>
    <s v="CUST0227"/>
    <n v="1581.22"/>
  </r>
  <r>
    <n v="360"/>
    <x v="51"/>
    <x v="5"/>
    <s v="Electronics"/>
    <n v="821.52"/>
    <n v="2"/>
    <n v="0.2"/>
    <n v="0.17"/>
    <s v="South"/>
    <s v="CUST0040"/>
    <n v="1643.04"/>
  </r>
  <r>
    <n v="361"/>
    <x v="225"/>
    <x v="2"/>
    <s v="Accessories"/>
    <n v="516.17999999999995"/>
    <n v="2"/>
    <n v="0.3"/>
    <n v="0.3"/>
    <s v="West"/>
    <s v="CUST0178"/>
    <n v="1032.3599999999999"/>
  </r>
  <r>
    <n v="362"/>
    <x v="55"/>
    <x v="2"/>
    <s v="Accessories"/>
    <n v="1493.33"/>
    <n v="4"/>
    <n v="0.02"/>
    <n v="0.27"/>
    <s v="East"/>
    <s v="CUST0231"/>
    <n v="5973.32"/>
  </r>
  <r>
    <n v="363"/>
    <x v="226"/>
    <x v="0"/>
    <s v="Electronics"/>
    <n v="1443.46"/>
    <n v="5"/>
    <n v="0.21"/>
    <n v="0.16"/>
    <s v="East"/>
    <s v="CUST0014"/>
    <n v="7217.3"/>
  </r>
  <r>
    <n v="364"/>
    <x v="81"/>
    <x v="2"/>
    <s v="Accessories"/>
    <n v="628.98"/>
    <n v="1"/>
    <n v="0.25"/>
    <n v="0.1"/>
    <s v="West"/>
    <s v="CUST0049"/>
    <n v="628.98"/>
  </r>
  <r>
    <n v="365"/>
    <x v="227"/>
    <x v="4"/>
    <s v="Electronics"/>
    <n v="1198.29"/>
    <n v="5"/>
    <n v="0.04"/>
    <n v="0.39"/>
    <s v="West"/>
    <s v="CUST0167"/>
    <n v="5991.45"/>
  </r>
  <r>
    <n v="366"/>
    <x v="78"/>
    <x v="1"/>
    <s v="Accessories"/>
    <n v="1488.91"/>
    <n v="4"/>
    <n v="7.0000000000000007E-2"/>
    <n v="0.3"/>
    <s v="North"/>
    <s v="CUST0012"/>
    <n v="5955.64"/>
  </r>
  <r>
    <n v="367"/>
    <x v="63"/>
    <x v="3"/>
    <s v="Accessories"/>
    <n v="944.79"/>
    <n v="2"/>
    <n v="0.24"/>
    <n v="0.36"/>
    <s v="East"/>
    <s v="CUST0131"/>
    <n v="1889.58"/>
  </r>
  <r>
    <n v="368"/>
    <x v="38"/>
    <x v="1"/>
    <s v="Accessories"/>
    <n v="772.59"/>
    <n v="4"/>
    <n v="0.21"/>
    <n v="0.11"/>
    <s v="East"/>
    <s v="CUST0006"/>
    <n v="3090.36"/>
  </r>
  <r>
    <n v="369"/>
    <x v="115"/>
    <x v="1"/>
    <s v="Accessories"/>
    <n v="413.09"/>
    <n v="2"/>
    <n v="0.11"/>
    <n v="0.2"/>
    <s v="West"/>
    <s v="CUST0061"/>
    <n v="826.18"/>
  </r>
  <r>
    <n v="370"/>
    <x v="219"/>
    <x v="2"/>
    <s v="Accessories"/>
    <n v="841.86"/>
    <n v="3"/>
    <n v="0.25"/>
    <n v="0.18"/>
    <s v="North"/>
    <s v="CUST0069"/>
    <n v="2525.58"/>
  </r>
  <r>
    <n v="371"/>
    <x v="140"/>
    <x v="5"/>
    <s v="Electronics"/>
    <n v="910.88"/>
    <n v="3"/>
    <n v="0.24"/>
    <n v="0.27"/>
    <s v="West"/>
    <s v="CUST0205"/>
    <n v="2732.64"/>
  </r>
  <r>
    <n v="372"/>
    <x v="228"/>
    <x v="3"/>
    <s v="Accessories"/>
    <n v="1280.8499999999999"/>
    <n v="2"/>
    <n v="0.15"/>
    <n v="0.22"/>
    <s v="East"/>
    <s v="CUST0032"/>
    <n v="2561.6999999999998"/>
  </r>
  <r>
    <n v="373"/>
    <x v="24"/>
    <x v="4"/>
    <s v="Electronics"/>
    <n v="1230.74"/>
    <n v="3"/>
    <n v="0.2"/>
    <n v="0.26"/>
    <s v="North"/>
    <s v="CUST0172"/>
    <n v="3692.2200000000003"/>
  </r>
  <r>
    <n v="374"/>
    <x v="186"/>
    <x v="0"/>
    <s v="Electronics"/>
    <n v="233.39"/>
    <n v="4"/>
    <n v="0.25"/>
    <n v="0.2"/>
    <s v="South"/>
    <s v="CUST0060"/>
    <n v="933.56"/>
  </r>
  <r>
    <n v="375"/>
    <x v="156"/>
    <x v="4"/>
    <s v="Electronics"/>
    <n v="280.95"/>
    <n v="2"/>
    <n v="7.0000000000000007E-2"/>
    <n v="0.39"/>
    <s v="West"/>
    <s v="CUST0157"/>
    <n v="561.9"/>
  </r>
  <r>
    <n v="376"/>
    <x v="93"/>
    <x v="2"/>
    <s v="Accessories"/>
    <n v="1400.78"/>
    <n v="2"/>
    <n v="0.04"/>
    <n v="0.36"/>
    <s v="South"/>
    <s v="CUST0087"/>
    <n v="2801.56"/>
  </r>
  <r>
    <n v="377"/>
    <x v="180"/>
    <x v="1"/>
    <s v="Accessories"/>
    <n v="919.4"/>
    <n v="1"/>
    <n v="0.18"/>
    <n v="0.33"/>
    <s v="North"/>
    <s v="CUST0284"/>
    <n v="919.4"/>
  </r>
  <r>
    <n v="378"/>
    <x v="180"/>
    <x v="1"/>
    <s v="Accessories"/>
    <n v="1007.8"/>
    <n v="2"/>
    <n v="0.02"/>
    <n v="0.11"/>
    <s v="East"/>
    <s v="CUST0181"/>
    <n v="2015.6"/>
  </r>
  <r>
    <n v="379"/>
    <x v="68"/>
    <x v="5"/>
    <s v="Electronics"/>
    <n v="368.01"/>
    <n v="5"/>
    <n v="0.16"/>
    <n v="0.39"/>
    <s v="South"/>
    <s v="CUST0282"/>
    <n v="1840.05"/>
  </r>
  <r>
    <n v="380"/>
    <x v="197"/>
    <x v="5"/>
    <s v="Electronics"/>
    <n v="901.58"/>
    <n v="4"/>
    <n v="0.13"/>
    <n v="0.13"/>
    <s v="South"/>
    <s v="CUST0036"/>
    <n v="3606.32"/>
  </r>
  <r>
    <n v="381"/>
    <x v="19"/>
    <x v="3"/>
    <s v="Accessories"/>
    <n v="343.66"/>
    <n v="2"/>
    <n v="0.2"/>
    <n v="0.15"/>
    <s v="South"/>
    <s v="CUST0028"/>
    <n v="687.32"/>
  </r>
  <r>
    <n v="382"/>
    <x v="178"/>
    <x v="0"/>
    <s v="Electronics"/>
    <n v="1176.6199999999999"/>
    <n v="2"/>
    <n v="0.06"/>
    <n v="0.25"/>
    <s v="South"/>
    <s v="CUST0098"/>
    <n v="2353.2399999999998"/>
  </r>
  <r>
    <n v="383"/>
    <x v="229"/>
    <x v="3"/>
    <s v="Accessories"/>
    <n v="110.23"/>
    <n v="1"/>
    <n v="0.13"/>
    <n v="0.15"/>
    <s v="East"/>
    <s v="CUST0143"/>
    <n v="110.23"/>
  </r>
  <r>
    <n v="384"/>
    <x v="135"/>
    <x v="3"/>
    <s v="Accessories"/>
    <n v="204.04"/>
    <n v="3"/>
    <n v="0.05"/>
    <n v="0.31"/>
    <s v="North"/>
    <s v="CUST0187"/>
    <n v="612.12"/>
  </r>
  <r>
    <n v="385"/>
    <x v="230"/>
    <x v="2"/>
    <s v="Accessories"/>
    <n v="776.4"/>
    <n v="1"/>
    <n v="7.0000000000000007E-2"/>
    <n v="0.17"/>
    <s v="East"/>
    <s v="CUST0252"/>
    <n v="776.4"/>
  </r>
  <r>
    <n v="386"/>
    <x v="231"/>
    <x v="1"/>
    <s v="Accessories"/>
    <n v="945.25"/>
    <n v="4"/>
    <n v="0.25"/>
    <n v="0.32"/>
    <s v="East"/>
    <s v="CUST0001"/>
    <n v="3781"/>
  </r>
  <r>
    <n v="387"/>
    <x v="90"/>
    <x v="2"/>
    <s v="Accessories"/>
    <n v="622.08000000000004"/>
    <n v="5"/>
    <n v="0.11"/>
    <n v="0.26"/>
    <s v="East"/>
    <s v="CUST0253"/>
    <n v="3110.4"/>
  </r>
  <r>
    <n v="388"/>
    <x v="18"/>
    <x v="1"/>
    <s v="Accessories"/>
    <n v="285.91000000000003"/>
    <n v="5"/>
    <n v="0.23"/>
    <n v="0.1"/>
    <s v="South"/>
    <s v="CUST0285"/>
    <n v="1429.5500000000002"/>
  </r>
  <r>
    <n v="389"/>
    <x v="232"/>
    <x v="1"/>
    <s v="Accessories"/>
    <n v="734.98"/>
    <n v="5"/>
    <n v="0.23"/>
    <n v="0.14000000000000001"/>
    <s v="North"/>
    <s v="CUST0149"/>
    <n v="3674.9"/>
  </r>
  <r>
    <n v="390"/>
    <x v="233"/>
    <x v="0"/>
    <s v="Electronics"/>
    <n v="502.16"/>
    <n v="2"/>
    <n v="7.0000000000000007E-2"/>
    <n v="0.39"/>
    <s v="East"/>
    <s v="CUST0135"/>
    <n v="1004.32"/>
  </r>
  <r>
    <n v="391"/>
    <x v="184"/>
    <x v="5"/>
    <s v="Electronics"/>
    <n v="120.31"/>
    <n v="4"/>
    <n v="0.11"/>
    <n v="0.18"/>
    <s v="West"/>
    <s v="CUST0279"/>
    <n v="481.24"/>
  </r>
  <r>
    <n v="392"/>
    <x v="21"/>
    <x v="1"/>
    <s v="Accessories"/>
    <n v="761.52"/>
    <n v="5"/>
    <n v="0.15"/>
    <n v="0.15"/>
    <s v="West"/>
    <s v="CUST0131"/>
    <n v="3807.6"/>
  </r>
  <r>
    <n v="393"/>
    <x v="20"/>
    <x v="2"/>
    <s v="Accessories"/>
    <n v="384.13"/>
    <n v="2"/>
    <n v="0.14000000000000001"/>
    <n v="0.21"/>
    <s v="North"/>
    <s v="CUST0239"/>
    <n v="768.26"/>
  </r>
  <r>
    <n v="394"/>
    <x v="187"/>
    <x v="2"/>
    <s v="Accessories"/>
    <n v="1182.9000000000001"/>
    <n v="5"/>
    <n v="0.04"/>
    <n v="0.13"/>
    <s v="South"/>
    <s v="CUST0073"/>
    <n v="5914.5"/>
  </r>
  <r>
    <n v="395"/>
    <x v="135"/>
    <x v="1"/>
    <s v="Accessories"/>
    <n v="490.23"/>
    <n v="1"/>
    <n v="0.24"/>
    <n v="0.12"/>
    <s v="South"/>
    <s v="CUST0128"/>
    <n v="490.23"/>
  </r>
  <r>
    <n v="396"/>
    <x v="234"/>
    <x v="3"/>
    <s v="Accessories"/>
    <n v="1265.29"/>
    <n v="2"/>
    <n v="0.08"/>
    <n v="0.33"/>
    <s v="South"/>
    <s v="CUST0288"/>
    <n v="2530.58"/>
  </r>
  <r>
    <n v="397"/>
    <x v="192"/>
    <x v="3"/>
    <s v="Accessories"/>
    <n v="964.87"/>
    <n v="2"/>
    <n v="0.12"/>
    <n v="0.24"/>
    <s v="South"/>
    <s v="CUST0062"/>
    <n v="1929.74"/>
  </r>
  <r>
    <n v="398"/>
    <x v="235"/>
    <x v="4"/>
    <s v="Electronics"/>
    <n v="1336.85"/>
    <n v="5"/>
    <n v="0.05"/>
    <n v="0.32"/>
    <s v="North"/>
    <s v="CUST0292"/>
    <n v="6684.25"/>
  </r>
  <r>
    <n v="399"/>
    <x v="236"/>
    <x v="4"/>
    <s v="Electronics"/>
    <n v="1028.3399999999999"/>
    <n v="5"/>
    <n v="0.01"/>
    <n v="0.32"/>
    <s v="East"/>
    <s v="CUST0195"/>
    <n v="5141.7"/>
  </r>
  <r>
    <n v="400"/>
    <x v="194"/>
    <x v="2"/>
    <s v="Accessories"/>
    <n v="1208.1400000000001"/>
    <n v="3"/>
    <n v="0"/>
    <n v="0.39"/>
    <s v="East"/>
    <s v="CUST0230"/>
    <n v="3624.42"/>
  </r>
  <r>
    <n v="401"/>
    <x v="237"/>
    <x v="1"/>
    <s v="Accessories"/>
    <n v="596.70000000000005"/>
    <n v="4"/>
    <n v="0.1"/>
    <n v="0.33"/>
    <s v="North"/>
    <s v="CUST0262"/>
    <n v="2386.8000000000002"/>
  </r>
  <r>
    <n v="402"/>
    <x v="238"/>
    <x v="4"/>
    <s v="Electronics"/>
    <n v="548.39"/>
    <n v="2"/>
    <n v="0.03"/>
    <n v="0.3"/>
    <s v="South"/>
    <s v="CUST0066"/>
    <n v="1096.78"/>
  </r>
  <r>
    <n v="403"/>
    <x v="65"/>
    <x v="1"/>
    <s v="Accessories"/>
    <n v="126.35"/>
    <n v="2"/>
    <n v="0.01"/>
    <n v="0.12"/>
    <s v="East"/>
    <s v="CUST0174"/>
    <n v="252.7"/>
  </r>
  <r>
    <n v="404"/>
    <x v="239"/>
    <x v="5"/>
    <s v="Electronics"/>
    <n v="1350.88"/>
    <n v="1"/>
    <n v="0.28999999999999998"/>
    <n v="0.3"/>
    <s v="West"/>
    <s v="CUST0225"/>
    <n v="1350.88"/>
  </r>
  <r>
    <n v="405"/>
    <x v="240"/>
    <x v="5"/>
    <s v="Electronics"/>
    <n v="401.73"/>
    <n v="4"/>
    <n v="0.23"/>
    <n v="0.28999999999999998"/>
    <s v="East"/>
    <s v="CUST0095"/>
    <n v="1606.92"/>
  </r>
  <r>
    <n v="406"/>
    <x v="107"/>
    <x v="1"/>
    <s v="Accessories"/>
    <n v="86.88"/>
    <n v="2"/>
    <n v="0.1"/>
    <n v="0.14000000000000001"/>
    <s v="South"/>
    <s v="CUST0260"/>
    <n v="173.76"/>
  </r>
  <r>
    <n v="407"/>
    <x v="103"/>
    <x v="1"/>
    <s v="Accessories"/>
    <n v="1470.46"/>
    <n v="5"/>
    <n v="0.17"/>
    <n v="0.32"/>
    <s v="South"/>
    <s v="CUST0285"/>
    <n v="7352.3"/>
  </r>
  <r>
    <n v="408"/>
    <x v="241"/>
    <x v="4"/>
    <s v="Electronics"/>
    <n v="934.34"/>
    <n v="2"/>
    <n v="0.04"/>
    <n v="0.2"/>
    <s v="North"/>
    <s v="CUST0050"/>
    <n v="1868.68"/>
  </r>
  <r>
    <n v="409"/>
    <x v="182"/>
    <x v="5"/>
    <s v="Electronics"/>
    <n v="165.14"/>
    <n v="3"/>
    <n v="0.17"/>
    <n v="0.22"/>
    <s v="West"/>
    <s v="CUST0242"/>
    <n v="495.41999999999996"/>
  </r>
  <r>
    <n v="410"/>
    <x v="242"/>
    <x v="1"/>
    <s v="Accessories"/>
    <n v="1416.04"/>
    <n v="4"/>
    <n v="0.04"/>
    <n v="0.16"/>
    <s v="East"/>
    <s v="CUST0186"/>
    <n v="5664.16"/>
  </r>
  <r>
    <n v="411"/>
    <x v="240"/>
    <x v="4"/>
    <s v="Electronics"/>
    <n v="43.75"/>
    <n v="5"/>
    <n v="0.09"/>
    <n v="0.34"/>
    <s v="North"/>
    <s v="CUST0246"/>
    <n v="218.75"/>
  </r>
  <r>
    <n v="412"/>
    <x v="229"/>
    <x v="0"/>
    <s v="Electronics"/>
    <n v="1321.92"/>
    <n v="4"/>
    <n v="0.28000000000000003"/>
    <n v="0.18"/>
    <s v="South"/>
    <s v="CUST0065"/>
    <n v="5287.68"/>
  </r>
  <r>
    <n v="413"/>
    <x v="243"/>
    <x v="3"/>
    <s v="Accessories"/>
    <n v="1468.14"/>
    <n v="4"/>
    <n v="0.02"/>
    <n v="0.2"/>
    <s v="North"/>
    <s v="CUST0173"/>
    <n v="5872.56"/>
  </r>
  <r>
    <n v="414"/>
    <x v="172"/>
    <x v="0"/>
    <s v="Electronics"/>
    <n v="1477.39"/>
    <n v="4"/>
    <n v="0.01"/>
    <n v="0.15"/>
    <s v="South"/>
    <s v="CUST0142"/>
    <n v="5909.56"/>
  </r>
  <r>
    <n v="415"/>
    <x v="244"/>
    <x v="1"/>
    <s v="Accessories"/>
    <n v="1035.81"/>
    <n v="4"/>
    <n v="0.25"/>
    <n v="0.16"/>
    <s v="North"/>
    <s v="CUST0025"/>
    <n v="4143.24"/>
  </r>
  <r>
    <n v="416"/>
    <x v="203"/>
    <x v="2"/>
    <s v="Accessories"/>
    <n v="530.02"/>
    <n v="3"/>
    <n v="0.23"/>
    <n v="0.32"/>
    <s v="East"/>
    <s v="CUST0124"/>
    <n v="1590.06"/>
  </r>
  <r>
    <n v="417"/>
    <x v="59"/>
    <x v="1"/>
    <s v="Accessories"/>
    <n v="463.88"/>
    <n v="3"/>
    <n v="0.05"/>
    <n v="0.13"/>
    <s v="North"/>
    <s v="CUST0107"/>
    <n v="1391.6399999999999"/>
  </r>
  <r>
    <n v="418"/>
    <x v="91"/>
    <x v="3"/>
    <s v="Accessories"/>
    <n v="963.53"/>
    <n v="5"/>
    <n v="0.05"/>
    <n v="0.24"/>
    <s v="North"/>
    <s v="CUST0186"/>
    <n v="4817.6499999999996"/>
  </r>
  <r>
    <n v="419"/>
    <x v="43"/>
    <x v="2"/>
    <s v="Accessories"/>
    <n v="1222.33"/>
    <n v="4"/>
    <n v="0.22"/>
    <n v="0.4"/>
    <s v="South"/>
    <s v="CUST0193"/>
    <n v="4889.32"/>
  </r>
  <r>
    <n v="420"/>
    <x v="143"/>
    <x v="2"/>
    <s v="Accessories"/>
    <n v="311.08"/>
    <n v="2"/>
    <n v="0.2"/>
    <n v="0.19"/>
    <s v="East"/>
    <s v="CUST0018"/>
    <n v="622.16"/>
  </r>
  <r>
    <n v="421"/>
    <x v="136"/>
    <x v="1"/>
    <s v="Accessories"/>
    <n v="933.58"/>
    <n v="3"/>
    <n v="0.21"/>
    <n v="0.21"/>
    <s v="South"/>
    <s v="CUST0145"/>
    <n v="2800.7400000000002"/>
  </r>
  <r>
    <n v="422"/>
    <x v="90"/>
    <x v="5"/>
    <s v="Electronics"/>
    <n v="1275.8699999999999"/>
    <n v="2"/>
    <n v="0.01"/>
    <n v="0.32"/>
    <s v="West"/>
    <s v="CUST0165"/>
    <n v="2551.7399999999998"/>
  </r>
  <r>
    <n v="423"/>
    <x v="176"/>
    <x v="4"/>
    <s v="Electronics"/>
    <n v="1130.58"/>
    <n v="5"/>
    <n v="0.11"/>
    <n v="0.2"/>
    <s v="West"/>
    <s v="CUST0184"/>
    <n v="5652.9"/>
  </r>
  <r>
    <n v="424"/>
    <x v="245"/>
    <x v="0"/>
    <s v="Electronics"/>
    <n v="1266.9100000000001"/>
    <n v="3"/>
    <n v="0.3"/>
    <n v="0.21"/>
    <s v="North"/>
    <s v="CUST0053"/>
    <n v="3800.7300000000005"/>
  </r>
  <r>
    <n v="425"/>
    <x v="215"/>
    <x v="2"/>
    <s v="Accessories"/>
    <n v="1090.05"/>
    <n v="3"/>
    <n v="0.04"/>
    <n v="0.3"/>
    <s v="South"/>
    <s v="CUST0137"/>
    <n v="3270.1499999999996"/>
  </r>
  <r>
    <n v="426"/>
    <x v="223"/>
    <x v="0"/>
    <s v="Electronics"/>
    <n v="1051.04"/>
    <n v="5"/>
    <n v="0.01"/>
    <n v="0.15"/>
    <s v="West"/>
    <s v="CUST0115"/>
    <n v="5255.2"/>
  </r>
  <r>
    <n v="427"/>
    <x v="230"/>
    <x v="1"/>
    <s v="Accessories"/>
    <n v="1196.44"/>
    <n v="4"/>
    <n v="0.12"/>
    <n v="0.36"/>
    <s v="North"/>
    <s v="CUST0180"/>
    <n v="4785.76"/>
  </r>
  <r>
    <n v="428"/>
    <x v="222"/>
    <x v="1"/>
    <s v="Accessories"/>
    <n v="972.43"/>
    <n v="5"/>
    <n v="0.17"/>
    <n v="0.27"/>
    <s v="East"/>
    <s v="CUST0195"/>
    <n v="4862.1499999999996"/>
  </r>
  <r>
    <n v="429"/>
    <x v="164"/>
    <x v="5"/>
    <s v="Electronics"/>
    <n v="742.73"/>
    <n v="2"/>
    <n v="0.18"/>
    <n v="0.11"/>
    <s v="West"/>
    <s v="CUST0287"/>
    <n v="1485.46"/>
  </r>
  <r>
    <n v="430"/>
    <x v="246"/>
    <x v="4"/>
    <s v="Electronics"/>
    <n v="963.82"/>
    <n v="3"/>
    <n v="0.02"/>
    <n v="0.2"/>
    <s v="North"/>
    <s v="CUST0186"/>
    <n v="2891.46"/>
  </r>
  <r>
    <n v="431"/>
    <x v="138"/>
    <x v="1"/>
    <s v="Accessories"/>
    <n v="1473.4"/>
    <n v="5"/>
    <n v="0.24"/>
    <n v="0.26"/>
    <s v="North"/>
    <s v="CUST0087"/>
    <n v="7367"/>
  </r>
  <r>
    <n v="432"/>
    <x v="231"/>
    <x v="2"/>
    <s v="Accessories"/>
    <n v="242.49"/>
    <n v="1"/>
    <n v="0.13"/>
    <n v="0.13"/>
    <s v="South"/>
    <s v="CUST0254"/>
    <n v="242.49"/>
  </r>
  <r>
    <n v="433"/>
    <x v="227"/>
    <x v="2"/>
    <s v="Accessories"/>
    <n v="117.25"/>
    <n v="4"/>
    <n v="0.22"/>
    <n v="0.4"/>
    <s v="South"/>
    <s v="CUST0224"/>
    <n v="469"/>
  </r>
  <r>
    <n v="434"/>
    <x v="247"/>
    <x v="5"/>
    <s v="Electronics"/>
    <n v="972.78"/>
    <n v="1"/>
    <n v="0.19"/>
    <n v="0.25"/>
    <s v="North"/>
    <s v="CUST0050"/>
    <n v="972.78"/>
  </r>
  <r>
    <n v="435"/>
    <x v="67"/>
    <x v="5"/>
    <s v="Electronics"/>
    <n v="199.55"/>
    <n v="4"/>
    <n v="0.12"/>
    <n v="0.27"/>
    <s v="North"/>
    <s v="CUST0187"/>
    <n v="798.2"/>
  </r>
  <r>
    <n v="436"/>
    <x v="248"/>
    <x v="1"/>
    <s v="Accessories"/>
    <n v="297.10000000000002"/>
    <n v="5"/>
    <n v="0.28999999999999998"/>
    <n v="0.15"/>
    <s v="North"/>
    <s v="CUST0094"/>
    <n v="1485.5"/>
  </r>
  <r>
    <n v="437"/>
    <x v="142"/>
    <x v="1"/>
    <s v="Accessories"/>
    <n v="60.68"/>
    <n v="5"/>
    <n v="0.21"/>
    <n v="0.38"/>
    <s v="North"/>
    <s v="CUST0159"/>
    <n v="303.39999999999998"/>
  </r>
  <r>
    <n v="438"/>
    <x v="110"/>
    <x v="2"/>
    <s v="Accessories"/>
    <n v="1412.5"/>
    <n v="2"/>
    <n v="0.26"/>
    <n v="0.17"/>
    <s v="West"/>
    <s v="CUST0039"/>
    <n v="2825"/>
  </r>
  <r>
    <n v="439"/>
    <x v="76"/>
    <x v="4"/>
    <s v="Electronics"/>
    <n v="1266.8499999999999"/>
    <n v="5"/>
    <n v="0.14000000000000001"/>
    <n v="0.23"/>
    <s v="West"/>
    <s v="CUST0092"/>
    <n v="6334.25"/>
  </r>
  <r>
    <n v="440"/>
    <x v="249"/>
    <x v="1"/>
    <s v="Accessories"/>
    <n v="737.38"/>
    <n v="2"/>
    <n v="0.02"/>
    <n v="0.32"/>
    <s v="East"/>
    <s v="CUST0136"/>
    <n v="1474.76"/>
  </r>
  <r>
    <n v="441"/>
    <x v="140"/>
    <x v="1"/>
    <s v="Accessories"/>
    <n v="1175.81"/>
    <n v="4"/>
    <n v="0.23"/>
    <n v="0.15"/>
    <s v="West"/>
    <s v="CUST0250"/>
    <n v="4703.24"/>
  </r>
  <r>
    <n v="442"/>
    <x v="55"/>
    <x v="2"/>
    <s v="Accessories"/>
    <n v="218.74"/>
    <n v="1"/>
    <n v="0.23"/>
    <n v="0.3"/>
    <s v="East"/>
    <s v="CUST0199"/>
    <n v="218.74"/>
  </r>
  <r>
    <n v="443"/>
    <x v="186"/>
    <x v="2"/>
    <s v="Accessories"/>
    <n v="44.77"/>
    <n v="4"/>
    <n v="0.01"/>
    <n v="0.11"/>
    <s v="South"/>
    <s v="CUST0090"/>
    <n v="179.08"/>
  </r>
  <r>
    <n v="444"/>
    <x v="61"/>
    <x v="2"/>
    <s v="Accessories"/>
    <n v="431.53"/>
    <n v="2"/>
    <n v="0.08"/>
    <n v="0.33"/>
    <s v="North"/>
    <s v="CUST0055"/>
    <n v="863.06"/>
  </r>
  <r>
    <n v="445"/>
    <x v="248"/>
    <x v="1"/>
    <s v="Accessories"/>
    <n v="1271.06"/>
    <n v="4"/>
    <n v="0.05"/>
    <n v="0.36"/>
    <s v="North"/>
    <s v="CUST0138"/>
    <n v="5084.24"/>
  </r>
  <r>
    <n v="446"/>
    <x v="178"/>
    <x v="3"/>
    <s v="Accessories"/>
    <n v="117.41"/>
    <n v="2"/>
    <n v="0.17"/>
    <n v="0.2"/>
    <s v="West"/>
    <s v="CUST0064"/>
    <n v="234.82"/>
  </r>
  <r>
    <n v="447"/>
    <x v="221"/>
    <x v="4"/>
    <s v="Electronics"/>
    <n v="631.37"/>
    <n v="2"/>
    <n v="0.22"/>
    <n v="0.26"/>
    <s v="East"/>
    <s v="CUST0245"/>
    <n v="1262.74"/>
  </r>
  <r>
    <n v="448"/>
    <x v="56"/>
    <x v="4"/>
    <s v="Electronics"/>
    <n v="1326.15"/>
    <n v="5"/>
    <n v="0.02"/>
    <n v="0.23"/>
    <s v="West"/>
    <s v="CUST0272"/>
    <n v="6630.75"/>
  </r>
  <r>
    <n v="449"/>
    <x v="235"/>
    <x v="1"/>
    <s v="Accessories"/>
    <n v="1102.96"/>
    <n v="2"/>
    <n v="0.28999999999999998"/>
    <n v="0.14000000000000001"/>
    <s v="East"/>
    <s v="CUST0087"/>
    <n v="2205.92"/>
  </r>
  <r>
    <n v="450"/>
    <x v="50"/>
    <x v="3"/>
    <s v="Accessories"/>
    <n v="317.19"/>
    <n v="1"/>
    <n v="0.14000000000000001"/>
    <n v="0.39"/>
    <s v="South"/>
    <s v="CUST0039"/>
    <n v="317.19"/>
  </r>
  <r>
    <n v="451"/>
    <x v="136"/>
    <x v="3"/>
    <s v="Accessories"/>
    <n v="248.09"/>
    <n v="4"/>
    <n v="0.13"/>
    <n v="0.13"/>
    <s v="North"/>
    <s v="CUST0003"/>
    <n v="992.36"/>
  </r>
  <r>
    <n v="452"/>
    <x v="237"/>
    <x v="5"/>
    <s v="Electronics"/>
    <n v="852.8"/>
    <n v="1"/>
    <n v="0.28999999999999998"/>
    <n v="0.17"/>
    <s v="West"/>
    <s v="CUST0005"/>
    <n v="852.8"/>
  </r>
  <r>
    <n v="453"/>
    <x v="99"/>
    <x v="5"/>
    <s v="Electronics"/>
    <n v="1091.1500000000001"/>
    <n v="1"/>
    <n v="0.24"/>
    <n v="0.26"/>
    <s v="East"/>
    <s v="CUST0024"/>
    <n v="1091.1500000000001"/>
  </r>
  <r>
    <n v="454"/>
    <x v="250"/>
    <x v="4"/>
    <s v="Electronics"/>
    <n v="145.54"/>
    <n v="2"/>
    <n v="0.15"/>
    <n v="0.15"/>
    <s v="North"/>
    <s v="CUST0217"/>
    <n v="291.08"/>
  </r>
  <r>
    <n v="455"/>
    <x v="251"/>
    <x v="0"/>
    <s v="Electronics"/>
    <n v="1004.68"/>
    <n v="1"/>
    <n v="0.2"/>
    <n v="0.24"/>
    <s v="North"/>
    <s v="CUST0213"/>
    <n v="1004.68"/>
  </r>
  <r>
    <n v="456"/>
    <x v="166"/>
    <x v="3"/>
    <s v="Accessories"/>
    <n v="1130.19"/>
    <n v="4"/>
    <n v="0.02"/>
    <n v="0.25"/>
    <s v="South"/>
    <s v="CUST0159"/>
    <n v="4520.76"/>
  </r>
  <r>
    <n v="457"/>
    <x v="194"/>
    <x v="2"/>
    <s v="Accessories"/>
    <n v="702.38"/>
    <n v="3"/>
    <n v="0.24"/>
    <n v="0.16"/>
    <s v="East"/>
    <s v="CUST0176"/>
    <n v="2107.14"/>
  </r>
  <r>
    <n v="458"/>
    <x v="252"/>
    <x v="5"/>
    <s v="Electronics"/>
    <n v="267.94"/>
    <n v="4"/>
    <n v="0.23"/>
    <n v="0.26"/>
    <s v="South"/>
    <s v="CUST0254"/>
    <n v="1071.76"/>
  </r>
  <r>
    <n v="459"/>
    <x v="253"/>
    <x v="1"/>
    <s v="Accessories"/>
    <n v="1319.8"/>
    <n v="4"/>
    <n v="0.26"/>
    <n v="0.17"/>
    <s v="North"/>
    <s v="CUST0152"/>
    <n v="5279.2"/>
  </r>
  <r>
    <n v="460"/>
    <x v="254"/>
    <x v="3"/>
    <s v="Accessories"/>
    <n v="1477.86"/>
    <n v="2"/>
    <n v="0.17"/>
    <n v="0.27"/>
    <s v="West"/>
    <s v="CUST0079"/>
    <n v="2955.72"/>
  </r>
  <r>
    <n v="461"/>
    <x v="255"/>
    <x v="4"/>
    <s v="Electronics"/>
    <n v="709.3"/>
    <n v="4"/>
    <n v="0.16"/>
    <n v="0.25"/>
    <s v="North"/>
    <s v="CUST0071"/>
    <n v="2837.2"/>
  </r>
  <r>
    <n v="462"/>
    <x v="100"/>
    <x v="5"/>
    <s v="Electronics"/>
    <n v="573.6"/>
    <n v="1"/>
    <n v="0.12"/>
    <n v="0.13"/>
    <s v="West"/>
    <s v="CUST0274"/>
    <n v="573.6"/>
  </r>
  <r>
    <n v="463"/>
    <x v="256"/>
    <x v="2"/>
    <s v="Accessories"/>
    <n v="1447.6"/>
    <n v="4"/>
    <n v="0.16"/>
    <n v="0.19"/>
    <s v="South"/>
    <s v="CUST0155"/>
    <n v="5790.4"/>
  </r>
  <r>
    <n v="464"/>
    <x v="257"/>
    <x v="5"/>
    <s v="Electronics"/>
    <n v="876.95"/>
    <n v="5"/>
    <n v="0.09"/>
    <n v="0.28999999999999998"/>
    <s v="West"/>
    <s v="CUST0138"/>
    <n v="4384.75"/>
  </r>
  <r>
    <n v="465"/>
    <x v="220"/>
    <x v="5"/>
    <s v="Electronics"/>
    <n v="811.22"/>
    <n v="2"/>
    <n v="0.13"/>
    <n v="0.27"/>
    <s v="East"/>
    <s v="CUST0239"/>
    <n v="1622.44"/>
  </r>
  <r>
    <n v="466"/>
    <x v="124"/>
    <x v="2"/>
    <s v="Accessories"/>
    <n v="929.87"/>
    <n v="5"/>
    <n v="0.27"/>
    <n v="0.18"/>
    <s v="West"/>
    <s v="CUST0078"/>
    <n v="4649.3500000000004"/>
  </r>
  <r>
    <n v="467"/>
    <x v="258"/>
    <x v="5"/>
    <s v="Electronics"/>
    <n v="772.9"/>
    <n v="4"/>
    <n v="0.06"/>
    <n v="0.16"/>
    <s v="East"/>
    <s v="CUST0138"/>
    <n v="3091.6"/>
  </r>
  <r>
    <n v="468"/>
    <x v="259"/>
    <x v="4"/>
    <s v="Electronics"/>
    <n v="1105.6400000000001"/>
    <n v="3"/>
    <n v="0.09"/>
    <n v="0.34"/>
    <s v="East"/>
    <s v="CUST0036"/>
    <n v="3316.92"/>
  </r>
  <r>
    <n v="469"/>
    <x v="167"/>
    <x v="0"/>
    <s v="Electronics"/>
    <n v="1288.8900000000001"/>
    <n v="1"/>
    <n v="0.24"/>
    <n v="0.25"/>
    <s v="North"/>
    <s v="CUST0130"/>
    <n v="1288.8900000000001"/>
  </r>
  <r>
    <n v="470"/>
    <x v="179"/>
    <x v="4"/>
    <s v="Electronics"/>
    <n v="1482.91"/>
    <n v="5"/>
    <n v="0.3"/>
    <n v="0.3"/>
    <s v="South"/>
    <s v="CUST0008"/>
    <n v="7414.55"/>
  </r>
  <r>
    <n v="471"/>
    <x v="260"/>
    <x v="5"/>
    <s v="Electronics"/>
    <n v="501.44"/>
    <n v="4"/>
    <n v="0.26"/>
    <n v="0.23"/>
    <s v="East"/>
    <s v="CUST0167"/>
    <n v="2005.76"/>
  </r>
  <r>
    <n v="472"/>
    <x v="190"/>
    <x v="0"/>
    <s v="Electronics"/>
    <n v="216.49"/>
    <n v="5"/>
    <n v="0.17"/>
    <n v="0.26"/>
    <s v="East"/>
    <s v="CUST0067"/>
    <n v="1082.45"/>
  </r>
  <r>
    <n v="473"/>
    <x v="261"/>
    <x v="3"/>
    <s v="Accessories"/>
    <n v="1238.8599999999999"/>
    <n v="2"/>
    <n v="0.02"/>
    <n v="0.32"/>
    <s v="East"/>
    <s v="CUST0141"/>
    <n v="2477.7199999999998"/>
  </r>
  <r>
    <n v="474"/>
    <x v="150"/>
    <x v="0"/>
    <s v="Electronics"/>
    <n v="521.84"/>
    <n v="1"/>
    <n v="0.25"/>
    <n v="0.26"/>
    <s v="East"/>
    <s v="CUST0123"/>
    <n v="521.84"/>
  </r>
  <r>
    <n v="475"/>
    <x v="147"/>
    <x v="3"/>
    <s v="Accessories"/>
    <n v="1145.3800000000001"/>
    <n v="1"/>
    <n v="0.14000000000000001"/>
    <n v="0.35"/>
    <s v="West"/>
    <s v="CUST0091"/>
    <n v="1145.3800000000001"/>
  </r>
  <r>
    <n v="476"/>
    <x v="262"/>
    <x v="3"/>
    <s v="Accessories"/>
    <n v="488.24"/>
    <n v="2"/>
    <n v="0.25"/>
    <n v="0.36"/>
    <s v="West"/>
    <s v="CUST0159"/>
    <n v="976.48"/>
  </r>
  <r>
    <n v="477"/>
    <x v="186"/>
    <x v="5"/>
    <s v="Electronics"/>
    <n v="281.3"/>
    <n v="5"/>
    <n v="0.03"/>
    <n v="0.13"/>
    <s v="West"/>
    <s v="CUST0278"/>
    <n v="1406.5"/>
  </r>
  <r>
    <n v="478"/>
    <x v="263"/>
    <x v="4"/>
    <s v="Electronics"/>
    <n v="234.41"/>
    <n v="1"/>
    <n v="0.22"/>
    <n v="0.16"/>
    <s v="East"/>
    <s v="CUST0254"/>
    <n v="234.41"/>
  </r>
  <r>
    <n v="479"/>
    <x v="189"/>
    <x v="3"/>
    <s v="Accessories"/>
    <n v="985.44"/>
    <n v="1"/>
    <n v="0.25"/>
    <n v="0.24"/>
    <s v="North"/>
    <s v="CUST0232"/>
    <n v="985.44"/>
  </r>
  <r>
    <n v="480"/>
    <x v="264"/>
    <x v="0"/>
    <s v="Electronics"/>
    <n v="399.61"/>
    <n v="1"/>
    <n v="0.04"/>
    <n v="0.3"/>
    <s v="North"/>
    <s v="CUST0166"/>
    <n v="399.61"/>
  </r>
  <r>
    <n v="481"/>
    <x v="85"/>
    <x v="0"/>
    <s v="Electronics"/>
    <n v="489.51"/>
    <n v="4"/>
    <n v="0.2"/>
    <n v="0.15"/>
    <s v="South"/>
    <s v="CUST0114"/>
    <n v="1958.04"/>
  </r>
  <r>
    <n v="482"/>
    <x v="2"/>
    <x v="0"/>
    <s v="Electronics"/>
    <n v="360.09"/>
    <n v="3"/>
    <n v="0.21"/>
    <n v="0.25"/>
    <s v="West"/>
    <s v="CUST0248"/>
    <n v="1080.27"/>
  </r>
  <r>
    <n v="483"/>
    <x v="143"/>
    <x v="4"/>
    <s v="Electronics"/>
    <n v="556.55999999999995"/>
    <n v="5"/>
    <n v="0.01"/>
    <n v="0.19"/>
    <s v="West"/>
    <s v="CUST0238"/>
    <n v="2782.7999999999997"/>
  </r>
  <r>
    <n v="484"/>
    <x v="217"/>
    <x v="2"/>
    <s v="Accessories"/>
    <n v="1144.8900000000001"/>
    <n v="4"/>
    <n v="0.26"/>
    <n v="0.33"/>
    <s v="North"/>
    <s v="CUST0084"/>
    <n v="4579.5600000000004"/>
  </r>
  <r>
    <n v="485"/>
    <x v="265"/>
    <x v="2"/>
    <s v="Accessories"/>
    <n v="112.16"/>
    <n v="2"/>
    <n v="0.2"/>
    <n v="0.36"/>
    <s v="West"/>
    <s v="CUST0227"/>
    <n v="224.32"/>
  </r>
  <r>
    <n v="486"/>
    <x v="56"/>
    <x v="2"/>
    <s v="Accessories"/>
    <n v="851.65"/>
    <n v="3"/>
    <n v="0.12"/>
    <n v="0.21"/>
    <s v="North"/>
    <s v="CUST0227"/>
    <n v="2554.9499999999998"/>
  </r>
  <r>
    <n v="487"/>
    <x v="78"/>
    <x v="5"/>
    <s v="Electronics"/>
    <n v="1300.23"/>
    <n v="3"/>
    <n v="0.12"/>
    <n v="0.34"/>
    <s v="West"/>
    <s v="CUST0010"/>
    <n v="3900.69"/>
  </r>
  <r>
    <n v="488"/>
    <x v="266"/>
    <x v="5"/>
    <s v="Electronics"/>
    <n v="51.55"/>
    <n v="2"/>
    <n v="0.28999999999999998"/>
    <n v="0.14000000000000001"/>
    <s v="South"/>
    <s v="CUST0174"/>
    <n v="103.1"/>
  </r>
  <r>
    <n v="489"/>
    <x v="138"/>
    <x v="5"/>
    <s v="Electronics"/>
    <n v="1459.85"/>
    <n v="3"/>
    <n v="0.23"/>
    <n v="0.34"/>
    <s v="East"/>
    <s v="CUST0170"/>
    <n v="4379.5499999999993"/>
  </r>
  <r>
    <n v="490"/>
    <x v="83"/>
    <x v="1"/>
    <s v="Accessories"/>
    <n v="1445.15"/>
    <n v="1"/>
    <n v="0.09"/>
    <n v="0.35"/>
    <s v="South"/>
    <s v="CUST0123"/>
    <n v="1445.15"/>
  </r>
  <r>
    <n v="491"/>
    <x v="262"/>
    <x v="4"/>
    <s v="Electronics"/>
    <n v="1312.31"/>
    <n v="5"/>
    <n v="0.16"/>
    <n v="0.13"/>
    <s v="East"/>
    <s v="CUST0281"/>
    <n v="6561.5499999999993"/>
  </r>
  <r>
    <n v="492"/>
    <x v="267"/>
    <x v="5"/>
    <s v="Electronics"/>
    <n v="93.03"/>
    <n v="1"/>
    <n v="0.14000000000000001"/>
    <n v="0.19"/>
    <s v="West"/>
    <s v="CUST0089"/>
    <n v="93.03"/>
  </r>
  <r>
    <n v="493"/>
    <x v="74"/>
    <x v="0"/>
    <s v="Electronics"/>
    <n v="134.51"/>
    <n v="1"/>
    <n v="0.09"/>
    <n v="0.32"/>
    <s v="North"/>
    <s v="CUST0135"/>
    <n v="134.51"/>
  </r>
  <r>
    <n v="494"/>
    <x v="268"/>
    <x v="4"/>
    <s v="Electronics"/>
    <n v="120.12"/>
    <n v="4"/>
    <n v="0.26"/>
    <n v="0.3"/>
    <s v="South"/>
    <s v="CUST0109"/>
    <n v="480.48"/>
  </r>
  <r>
    <n v="495"/>
    <x v="269"/>
    <x v="2"/>
    <s v="Accessories"/>
    <n v="527.1"/>
    <n v="5"/>
    <n v="0.25"/>
    <n v="0.19"/>
    <s v="East"/>
    <s v="CUST0007"/>
    <n v="2635.5"/>
  </r>
  <r>
    <n v="496"/>
    <x v="40"/>
    <x v="1"/>
    <s v="Accessories"/>
    <n v="884.64"/>
    <n v="2"/>
    <n v="0.17"/>
    <n v="0.3"/>
    <s v="North"/>
    <s v="CUST0137"/>
    <n v="1769.28"/>
  </r>
  <r>
    <n v="497"/>
    <x v="162"/>
    <x v="1"/>
    <s v="Accessories"/>
    <n v="1251.28"/>
    <n v="3"/>
    <n v="0.15"/>
    <n v="0.32"/>
    <s v="South"/>
    <s v="CUST0210"/>
    <n v="3753.84"/>
  </r>
  <r>
    <n v="498"/>
    <x v="232"/>
    <x v="3"/>
    <s v="Accessories"/>
    <n v="1366.7"/>
    <n v="4"/>
    <n v="0.26"/>
    <n v="0.12"/>
    <s v="South"/>
    <s v="CUST0195"/>
    <n v="5466.8"/>
  </r>
  <r>
    <n v="499"/>
    <x v="137"/>
    <x v="1"/>
    <s v="Accessories"/>
    <n v="62.08"/>
    <n v="4"/>
    <n v="0.27"/>
    <n v="0.24"/>
    <s v="West"/>
    <s v="CUST0039"/>
    <n v="248.32"/>
  </r>
  <r>
    <n v="500"/>
    <x v="0"/>
    <x v="3"/>
    <s v="Accessories"/>
    <n v="912.84"/>
    <n v="2"/>
    <n v="0.05"/>
    <n v="0.15"/>
    <s v="East"/>
    <s v="CUST0295"/>
    <n v="1825.68"/>
  </r>
  <r>
    <n v="501"/>
    <x v="171"/>
    <x v="1"/>
    <s v="Accessories"/>
    <n v="956.18"/>
    <n v="4"/>
    <n v="0.24"/>
    <n v="0.28999999999999998"/>
    <s v="North"/>
    <s v="CUST0099"/>
    <n v="3824.72"/>
  </r>
  <r>
    <n v="502"/>
    <x v="133"/>
    <x v="3"/>
    <s v="Accessories"/>
    <n v="780.74"/>
    <n v="4"/>
    <n v="7.0000000000000007E-2"/>
    <n v="0.34"/>
    <s v="North"/>
    <s v="CUST0023"/>
    <n v="3122.96"/>
  </r>
  <r>
    <n v="503"/>
    <x v="130"/>
    <x v="4"/>
    <s v="Electronics"/>
    <n v="987.03"/>
    <n v="2"/>
    <n v="0.08"/>
    <n v="0.24"/>
    <s v="East"/>
    <s v="CUST0275"/>
    <n v="1974.06"/>
  </r>
  <r>
    <n v="504"/>
    <x v="255"/>
    <x v="5"/>
    <s v="Electronics"/>
    <n v="771.74"/>
    <n v="1"/>
    <n v="0"/>
    <n v="0.11"/>
    <s v="West"/>
    <s v="CUST0253"/>
    <n v="771.74"/>
  </r>
  <r>
    <n v="505"/>
    <x v="73"/>
    <x v="0"/>
    <s v="Electronics"/>
    <n v="92.33"/>
    <n v="3"/>
    <n v="0.08"/>
    <n v="0.39"/>
    <s v="East"/>
    <s v="CUST0176"/>
    <n v="276.99"/>
  </r>
  <r>
    <n v="506"/>
    <x v="22"/>
    <x v="2"/>
    <s v="Accessories"/>
    <n v="722.63"/>
    <n v="3"/>
    <n v="0.06"/>
    <n v="0.28000000000000003"/>
    <s v="East"/>
    <s v="CUST0006"/>
    <n v="2167.89"/>
  </r>
  <r>
    <n v="507"/>
    <x v="143"/>
    <x v="3"/>
    <s v="Accessories"/>
    <n v="724.58"/>
    <n v="1"/>
    <n v="0.15"/>
    <n v="0.1"/>
    <s v="South"/>
    <s v="CUST0182"/>
    <n v="724.58"/>
  </r>
  <r>
    <n v="508"/>
    <x v="30"/>
    <x v="2"/>
    <s v="Accessories"/>
    <n v="98.01"/>
    <n v="3"/>
    <n v="0.25"/>
    <n v="0.19"/>
    <s v="East"/>
    <s v="CUST0065"/>
    <n v="294.03000000000003"/>
  </r>
  <r>
    <n v="509"/>
    <x v="215"/>
    <x v="0"/>
    <s v="Electronics"/>
    <n v="1208.81"/>
    <n v="1"/>
    <n v="7.0000000000000007E-2"/>
    <n v="0.22"/>
    <s v="West"/>
    <s v="CUST0087"/>
    <n v="1208.81"/>
  </r>
  <r>
    <n v="510"/>
    <x v="48"/>
    <x v="1"/>
    <s v="Accessories"/>
    <n v="1399.34"/>
    <n v="1"/>
    <n v="0.25"/>
    <n v="0.19"/>
    <s v="East"/>
    <s v="CUST0063"/>
    <n v="1399.34"/>
  </r>
  <r>
    <n v="511"/>
    <x v="37"/>
    <x v="0"/>
    <s v="Electronics"/>
    <n v="192.91"/>
    <n v="3"/>
    <n v="0.26"/>
    <n v="0.27"/>
    <s v="South"/>
    <s v="CUST0033"/>
    <n v="578.73"/>
  </r>
  <r>
    <n v="512"/>
    <x v="52"/>
    <x v="1"/>
    <s v="Accessories"/>
    <n v="752.98"/>
    <n v="3"/>
    <n v="0.01"/>
    <n v="0.24"/>
    <s v="North"/>
    <s v="CUST0021"/>
    <n v="2258.94"/>
  </r>
  <r>
    <n v="513"/>
    <x v="191"/>
    <x v="0"/>
    <s v="Electronics"/>
    <n v="430.23"/>
    <n v="1"/>
    <n v="0.12"/>
    <n v="0.32"/>
    <s v="North"/>
    <s v="CUST0003"/>
    <n v="430.23"/>
  </r>
  <r>
    <n v="514"/>
    <x v="270"/>
    <x v="2"/>
    <s v="Accessories"/>
    <n v="1363.73"/>
    <n v="5"/>
    <n v="0.08"/>
    <n v="0.3"/>
    <s v="North"/>
    <s v="CUST0193"/>
    <n v="6818.65"/>
  </r>
  <r>
    <n v="515"/>
    <x v="107"/>
    <x v="5"/>
    <s v="Electronics"/>
    <n v="1084.68"/>
    <n v="4"/>
    <n v="0.25"/>
    <n v="0.1"/>
    <s v="East"/>
    <s v="CUST0233"/>
    <n v="4338.72"/>
  </r>
  <r>
    <n v="516"/>
    <x v="8"/>
    <x v="2"/>
    <s v="Accessories"/>
    <n v="28.1"/>
    <n v="5"/>
    <n v="0.25"/>
    <n v="0.11"/>
    <s v="East"/>
    <s v="CUST0230"/>
    <n v="140.5"/>
  </r>
  <r>
    <n v="517"/>
    <x v="96"/>
    <x v="3"/>
    <s v="Accessories"/>
    <n v="1037.72"/>
    <n v="2"/>
    <n v="0.2"/>
    <n v="0.34"/>
    <s v="East"/>
    <s v="CUST0046"/>
    <n v="2075.44"/>
  </r>
  <r>
    <n v="518"/>
    <x v="204"/>
    <x v="2"/>
    <s v="Accessories"/>
    <n v="161.12"/>
    <n v="4"/>
    <n v="0.16"/>
    <n v="0.37"/>
    <s v="South"/>
    <s v="CUST0249"/>
    <n v="644.48"/>
  </r>
  <r>
    <n v="519"/>
    <x v="271"/>
    <x v="2"/>
    <s v="Accessories"/>
    <n v="143.27000000000001"/>
    <n v="1"/>
    <n v="0.28000000000000003"/>
    <n v="0.3"/>
    <s v="West"/>
    <s v="CUST0069"/>
    <n v="143.27000000000001"/>
  </r>
  <r>
    <n v="520"/>
    <x v="146"/>
    <x v="1"/>
    <s v="Accessories"/>
    <n v="978.51"/>
    <n v="3"/>
    <n v="0.18"/>
    <n v="0.1"/>
    <s v="West"/>
    <s v="CUST0130"/>
    <n v="2935.5299999999997"/>
  </r>
  <r>
    <n v="521"/>
    <x v="78"/>
    <x v="1"/>
    <s v="Accessories"/>
    <n v="229.84"/>
    <n v="1"/>
    <n v="0.18"/>
    <n v="0.36"/>
    <s v="South"/>
    <s v="CUST0173"/>
    <n v="229.84"/>
  </r>
  <r>
    <n v="522"/>
    <x v="60"/>
    <x v="4"/>
    <s v="Electronics"/>
    <n v="965.87"/>
    <n v="5"/>
    <n v="0.27"/>
    <n v="0.12"/>
    <s v="North"/>
    <s v="CUST0227"/>
    <n v="4829.3500000000004"/>
  </r>
  <r>
    <n v="523"/>
    <x v="80"/>
    <x v="0"/>
    <s v="Electronics"/>
    <n v="234.65"/>
    <n v="1"/>
    <n v="0.21"/>
    <n v="0.26"/>
    <s v="North"/>
    <s v="CUST0224"/>
    <n v="234.65"/>
  </r>
  <r>
    <n v="524"/>
    <x v="18"/>
    <x v="2"/>
    <s v="Accessories"/>
    <n v="741.85"/>
    <n v="5"/>
    <n v="0.12"/>
    <n v="0.37"/>
    <s v="West"/>
    <s v="CUST0213"/>
    <n v="3709.25"/>
  </r>
  <r>
    <n v="525"/>
    <x v="234"/>
    <x v="2"/>
    <s v="Accessories"/>
    <n v="849"/>
    <n v="1"/>
    <n v="0.22"/>
    <n v="0.3"/>
    <s v="North"/>
    <s v="CUST0296"/>
    <n v="849"/>
  </r>
  <r>
    <n v="526"/>
    <x v="201"/>
    <x v="3"/>
    <s v="Accessories"/>
    <n v="596.4"/>
    <n v="3"/>
    <n v="0.13"/>
    <n v="0.3"/>
    <s v="West"/>
    <s v="CUST0096"/>
    <n v="1789.1999999999998"/>
  </r>
  <r>
    <n v="527"/>
    <x v="103"/>
    <x v="5"/>
    <s v="Electronics"/>
    <n v="476.81"/>
    <n v="2"/>
    <n v="0.18"/>
    <n v="0.17"/>
    <s v="South"/>
    <s v="CUST0252"/>
    <n v="953.62"/>
  </r>
  <r>
    <n v="528"/>
    <x v="272"/>
    <x v="3"/>
    <s v="Accessories"/>
    <n v="1238.07"/>
    <n v="4"/>
    <n v="0.17"/>
    <n v="0.33"/>
    <s v="East"/>
    <s v="CUST0008"/>
    <n v="4952.28"/>
  </r>
  <r>
    <n v="529"/>
    <x v="224"/>
    <x v="2"/>
    <s v="Accessories"/>
    <n v="495.33"/>
    <n v="2"/>
    <n v="0.11"/>
    <n v="0.11"/>
    <s v="South"/>
    <s v="CUST0300"/>
    <n v="990.66"/>
  </r>
  <r>
    <n v="530"/>
    <x v="273"/>
    <x v="5"/>
    <s v="Electronics"/>
    <n v="779.73"/>
    <n v="4"/>
    <n v="0.13"/>
    <n v="0.14000000000000001"/>
    <s v="West"/>
    <s v="CUST0059"/>
    <n v="3118.92"/>
  </r>
  <r>
    <n v="531"/>
    <x v="84"/>
    <x v="1"/>
    <s v="Accessories"/>
    <n v="1148.81"/>
    <n v="4"/>
    <n v="0.1"/>
    <n v="0.26"/>
    <s v="East"/>
    <s v="CUST0164"/>
    <n v="4595.24"/>
  </r>
  <r>
    <n v="532"/>
    <x v="274"/>
    <x v="2"/>
    <s v="Accessories"/>
    <n v="904.08"/>
    <n v="1"/>
    <n v="0.2"/>
    <n v="0.28000000000000003"/>
    <s v="North"/>
    <s v="CUST0020"/>
    <n v="904.08"/>
  </r>
  <r>
    <n v="533"/>
    <x v="161"/>
    <x v="2"/>
    <s v="Accessories"/>
    <n v="346.39"/>
    <n v="4"/>
    <n v="0.17"/>
    <n v="0.13"/>
    <s v="East"/>
    <s v="CUST0172"/>
    <n v="1385.56"/>
  </r>
  <r>
    <n v="534"/>
    <x v="133"/>
    <x v="3"/>
    <s v="Accessories"/>
    <n v="232.32"/>
    <n v="5"/>
    <n v="7.0000000000000007E-2"/>
    <n v="0.39"/>
    <s v="North"/>
    <s v="CUST0113"/>
    <n v="1161.5999999999999"/>
  </r>
  <r>
    <n v="535"/>
    <x v="275"/>
    <x v="0"/>
    <s v="Electronics"/>
    <n v="1446.93"/>
    <n v="4"/>
    <n v="0.03"/>
    <n v="0.16"/>
    <s v="West"/>
    <s v="CUST0295"/>
    <n v="5787.72"/>
  </r>
  <r>
    <n v="536"/>
    <x v="251"/>
    <x v="0"/>
    <s v="Electronics"/>
    <n v="597.28"/>
    <n v="2"/>
    <n v="0.12"/>
    <n v="0.19"/>
    <s v="North"/>
    <s v="CUST0224"/>
    <n v="1194.56"/>
  </r>
  <r>
    <n v="537"/>
    <x v="4"/>
    <x v="0"/>
    <s v="Electronics"/>
    <n v="701.32"/>
    <n v="2"/>
    <n v="0.27"/>
    <n v="0.13"/>
    <s v="South"/>
    <s v="CUST0102"/>
    <n v="1402.64"/>
  </r>
  <r>
    <n v="538"/>
    <x v="162"/>
    <x v="4"/>
    <s v="Electronics"/>
    <n v="577.84"/>
    <n v="3"/>
    <n v="0.27"/>
    <n v="0.28000000000000003"/>
    <s v="West"/>
    <s v="CUST0241"/>
    <n v="1733.52"/>
  </r>
  <r>
    <n v="539"/>
    <x v="236"/>
    <x v="3"/>
    <s v="Accessories"/>
    <n v="1476.42"/>
    <n v="5"/>
    <n v="0.18"/>
    <n v="0.15"/>
    <s v="West"/>
    <s v="CUST0087"/>
    <n v="7382.1"/>
  </r>
  <r>
    <n v="540"/>
    <x v="11"/>
    <x v="2"/>
    <s v="Accessories"/>
    <n v="1456.84"/>
    <n v="4"/>
    <n v="0.28999999999999998"/>
    <n v="0.24"/>
    <s v="North"/>
    <s v="CUST0015"/>
    <n v="5827.36"/>
  </r>
  <r>
    <n v="541"/>
    <x v="20"/>
    <x v="1"/>
    <s v="Accessories"/>
    <n v="273.3"/>
    <n v="5"/>
    <n v="0.25"/>
    <n v="0.23"/>
    <s v="North"/>
    <s v="CUST0029"/>
    <n v="1366.5"/>
  </r>
  <r>
    <n v="542"/>
    <x v="0"/>
    <x v="0"/>
    <s v="Electronics"/>
    <n v="1244.55"/>
    <n v="5"/>
    <n v="0.06"/>
    <n v="0.12"/>
    <s v="West"/>
    <s v="CUST0038"/>
    <n v="6222.75"/>
  </r>
  <r>
    <n v="543"/>
    <x v="276"/>
    <x v="5"/>
    <s v="Electronics"/>
    <n v="1450.47"/>
    <n v="4"/>
    <n v="0.1"/>
    <n v="0.27"/>
    <s v="North"/>
    <s v="CUST0101"/>
    <n v="5801.88"/>
  </r>
  <r>
    <n v="544"/>
    <x v="277"/>
    <x v="0"/>
    <s v="Electronics"/>
    <n v="1499.58"/>
    <n v="5"/>
    <n v="0.19"/>
    <n v="0.25"/>
    <s v="East"/>
    <s v="CUST0147"/>
    <n v="7497.9"/>
  </r>
  <r>
    <n v="545"/>
    <x v="278"/>
    <x v="0"/>
    <s v="Electronics"/>
    <n v="1108.5"/>
    <n v="2"/>
    <n v="0.19"/>
    <n v="0.27"/>
    <s v="South"/>
    <s v="CUST0096"/>
    <n v="2217"/>
  </r>
  <r>
    <n v="546"/>
    <x v="258"/>
    <x v="1"/>
    <s v="Accessories"/>
    <n v="705.63"/>
    <n v="5"/>
    <n v="0.04"/>
    <n v="0.36"/>
    <s v="North"/>
    <s v="CUST0049"/>
    <n v="3528.15"/>
  </r>
  <r>
    <n v="547"/>
    <x v="279"/>
    <x v="3"/>
    <s v="Accessories"/>
    <n v="825.96"/>
    <n v="3"/>
    <n v="0.04"/>
    <n v="0.28000000000000003"/>
    <s v="South"/>
    <s v="CUST0175"/>
    <n v="2477.88"/>
  </r>
  <r>
    <n v="548"/>
    <x v="259"/>
    <x v="4"/>
    <s v="Electronics"/>
    <n v="1090.1600000000001"/>
    <n v="5"/>
    <n v="0.14000000000000001"/>
    <n v="0.11"/>
    <s v="East"/>
    <s v="CUST0277"/>
    <n v="5450.8"/>
  </r>
  <r>
    <n v="549"/>
    <x v="114"/>
    <x v="0"/>
    <s v="Electronics"/>
    <n v="1191"/>
    <n v="4"/>
    <n v="0.02"/>
    <n v="0.3"/>
    <s v="North"/>
    <s v="CUST0080"/>
    <n v="4764"/>
  </r>
  <r>
    <n v="550"/>
    <x v="59"/>
    <x v="4"/>
    <s v="Electronics"/>
    <n v="75.83"/>
    <n v="1"/>
    <n v="0.28000000000000003"/>
    <n v="0.25"/>
    <s v="East"/>
    <s v="CUST0134"/>
    <n v="75.83"/>
  </r>
  <r>
    <n v="551"/>
    <x v="183"/>
    <x v="4"/>
    <s v="Electronics"/>
    <n v="738.03"/>
    <n v="2"/>
    <n v="0.15"/>
    <n v="0.26"/>
    <s v="North"/>
    <s v="CUST0209"/>
    <n v="1476.06"/>
  </r>
  <r>
    <n v="552"/>
    <x v="198"/>
    <x v="1"/>
    <s v="Accessories"/>
    <n v="675.8"/>
    <n v="3"/>
    <n v="0.15"/>
    <n v="0.25"/>
    <s v="North"/>
    <s v="CUST0261"/>
    <n v="2027.3999999999999"/>
  </r>
  <r>
    <n v="553"/>
    <x v="5"/>
    <x v="3"/>
    <s v="Accessories"/>
    <n v="1095.43"/>
    <n v="5"/>
    <n v="0.28999999999999998"/>
    <n v="0.22"/>
    <s v="West"/>
    <s v="CUST0024"/>
    <n v="5477.1500000000005"/>
  </r>
  <r>
    <n v="554"/>
    <x v="280"/>
    <x v="4"/>
    <s v="Electronics"/>
    <n v="1152.68"/>
    <n v="4"/>
    <n v="0.24"/>
    <n v="0.24"/>
    <s v="South"/>
    <s v="CUST0293"/>
    <n v="4610.72"/>
  </r>
  <r>
    <n v="555"/>
    <x v="238"/>
    <x v="2"/>
    <s v="Accessories"/>
    <n v="112.72"/>
    <n v="5"/>
    <n v="0.13"/>
    <n v="0.35"/>
    <s v="East"/>
    <s v="CUST0297"/>
    <n v="563.6"/>
  </r>
  <r>
    <n v="556"/>
    <x v="261"/>
    <x v="0"/>
    <s v="Electronics"/>
    <n v="379.56"/>
    <n v="3"/>
    <n v="0.13"/>
    <n v="0.25"/>
    <s v="North"/>
    <s v="CUST0271"/>
    <n v="1138.68"/>
  </r>
  <r>
    <n v="557"/>
    <x v="209"/>
    <x v="0"/>
    <s v="Electronics"/>
    <n v="1391.41"/>
    <n v="2"/>
    <n v="0.14000000000000001"/>
    <n v="0.31"/>
    <s v="North"/>
    <s v="CUST0078"/>
    <n v="2782.82"/>
  </r>
  <r>
    <n v="558"/>
    <x v="66"/>
    <x v="1"/>
    <s v="Accessories"/>
    <n v="1311.27"/>
    <n v="2"/>
    <n v="0.04"/>
    <n v="0.19"/>
    <s v="East"/>
    <s v="CUST0060"/>
    <n v="2622.54"/>
  </r>
  <r>
    <n v="559"/>
    <x v="88"/>
    <x v="4"/>
    <s v="Electronics"/>
    <n v="1211.54"/>
    <n v="3"/>
    <n v="0.06"/>
    <n v="0.39"/>
    <s v="West"/>
    <s v="CUST0214"/>
    <n v="3634.62"/>
  </r>
  <r>
    <n v="560"/>
    <x v="82"/>
    <x v="1"/>
    <s v="Accessories"/>
    <n v="1486.06"/>
    <n v="2"/>
    <n v="0.2"/>
    <n v="0.35"/>
    <s v="South"/>
    <s v="CUST0150"/>
    <n v="2972.12"/>
  </r>
  <r>
    <n v="561"/>
    <x v="102"/>
    <x v="4"/>
    <s v="Electronics"/>
    <n v="28.42"/>
    <n v="3"/>
    <n v="0.22"/>
    <n v="0.35"/>
    <s v="South"/>
    <s v="CUST0245"/>
    <n v="85.26"/>
  </r>
  <r>
    <n v="562"/>
    <x v="281"/>
    <x v="1"/>
    <s v="Accessories"/>
    <n v="126.82"/>
    <n v="5"/>
    <n v="0.23"/>
    <n v="0.33"/>
    <s v="East"/>
    <s v="CUST0223"/>
    <n v="634.09999999999991"/>
  </r>
  <r>
    <n v="563"/>
    <x v="43"/>
    <x v="4"/>
    <s v="Electronics"/>
    <n v="1218.55"/>
    <n v="1"/>
    <n v="0.25"/>
    <n v="0.28000000000000003"/>
    <s v="East"/>
    <s v="CUST0234"/>
    <n v="1218.55"/>
  </r>
  <r>
    <n v="564"/>
    <x v="92"/>
    <x v="4"/>
    <s v="Electronics"/>
    <n v="613.66999999999996"/>
    <n v="2"/>
    <n v="0.02"/>
    <n v="0.22"/>
    <s v="East"/>
    <s v="CUST0101"/>
    <n v="1227.3399999999999"/>
  </r>
  <r>
    <n v="565"/>
    <x v="282"/>
    <x v="4"/>
    <s v="Electronics"/>
    <n v="476.55"/>
    <n v="3"/>
    <n v="0.19"/>
    <n v="0.27"/>
    <s v="West"/>
    <s v="CUST0031"/>
    <n v="1429.65"/>
  </r>
  <r>
    <n v="566"/>
    <x v="207"/>
    <x v="2"/>
    <s v="Accessories"/>
    <n v="33.979999999999997"/>
    <n v="3"/>
    <n v="0.16"/>
    <n v="0.19"/>
    <s v="East"/>
    <s v="CUST0078"/>
    <n v="101.94"/>
  </r>
  <r>
    <n v="567"/>
    <x v="283"/>
    <x v="4"/>
    <s v="Electronics"/>
    <n v="763.42"/>
    <n v="2"/>
    <n v="7.0000000000000007E-2"/>
    <n v="0.24"/>
    <s v="East"/>
    <s v="CUST0023"/>
    <n v="1526.84"/>
  </r>
  <r>
    <n v="568"/>
    <x v="282"/>
    <x v="4"/>
    <s v="Electronics"/>
    <n v="132.53"/>
    <n v="5"/>
    <n v="0.2"/>
    <n v="0.16"/>
    <s v="East"/>
    <s v="CUST0096"/>
    <n v="662.65"/>
  </r>
  <r>
    <n v="569"/>
    <x v="30"/>
    <x v="5"/>
    <s v="Electronics"/>
    <n v="439.48"/>
    <n v="3"/>
    <n v="0.01"/>
    <n v="0.27"/>
    <s v="North"/>
    <s v="CUST0021"/>
    <n v="1318.44"/>
  </r>
  <r>
    <n v="570"/>
    <x v="13"/>
    <x v="2"/>
    <s v="Accessories"/>
    <n v="358.39"/>
    <n v="1"/>
    <n v="7.0000000000000007E-2"/>
    <n v="0.11"/>
    <s v="South"/>
    <s v="CUST0242"/>
    <n v="358.39"/>
  </r>
  <r>
    <n v="571"/>
    <x v="272"/>
    <x v="0"/>
    <s v="Electronics"/>
    <n v="638.78"/>
    <n v="1"/>
    <n v="0.04"/>
    <n v="0.37"/>
    <s v="West"/>
    <s v="CUST0211"/>
    <n v="638.78"/>
  </r>
  <r>
    <n v="572"/>
    <x v="21"/>
    <x v="2"/>
    <s v="Accessories"/>
    <n v="1303.73"/>
    <n v="2"/>
    <n v="0.18"/>
    <n v="0.28999999999999998"/>
    <s v="East"/>
    <s v="CUST0038"/>
    <n v="2607.46"/>
  </r>
  <r>
    <n v="573"/>
    <x v="13"/>
    <x v="3"/>
    <s v="Accessories"/>
    <n v="964.71"/>
    <n v="2"/>
    <n v="7.0000000000000007E-2"/>
    <n v="0.31"/>
    <s v="East"/>
    <s v="CUST0054"/>
    <n v="1929.42"/>
  </r>
  <r>
    <n v="574"/>
    <x v="165"/>
    <x v="0"/>
    <s v="Electronics"/>
    <n v="1210.8399999999999"/>
    <n v="4"/>
    <n v="0.04"/>
    <n v="0.33"/>
    <s v="North"/>
    <s v="CUST0159"/>
    <n v="4843.3599999999997"/>
  </r>
  <r>
    <n v="575"/>
    <x v="263"/>
    <x v="1"/>
    <s v="Accessories"/>
    <n v="757.63"/>
    <n v="2"/>
    <n v="0.04"/>
    <n v="0.28999999999999998"/>
    <s v="East"/>
    <s v="CUST0036"/>
    <n v="1515.26"/>
  </r>
  <r>
    <n v="576"/>
    <x v="35"/>
    <x v="3"/>
    <s v="Accessories"/>
    <n v="425.53"/>
    <n v="1"/>
    <n v="0.1"/>
    <n v="0.1"/>
    <s v="East"/>
    <s v="CUST0212"/>
    <n v="425.53"/>
  </r>
  <r>
    <n v="577"/>
    <x v="67"/>
    <x v="0"/>
    <s v="Electronics"/>
    <n v="94.11"/>
    <n v="1"/>
    <n v="0.02"/>
    <n v="0.35"/>
    <s v="South"/>
    <s v="CUST0039"/>
    <n v="94.11"/>
  </r>
  <r>
    <n v="578"/>
    <x v="248"/>
    <x v="0"/>
    <s v="Electronics"/>
    <n v="1412.16"/>
    <n v="5"/>
    <n v="0.28000000000000003"/>
    <n v="0.35"/>
    <s v="North"/>
    <s v="CUST0216"/>
    <n v="7060.8"/>
  </r>
  <r>
    <n v="579"/>
    <x v="233"/>
    <x v="1"/>
    <s v="Accessories"/>
    <n v="423.83"/>
    <n v="3"/>
    <n v="0.26"/>
    <n v="0.27"/>
    <s v="East"/>
    <s v="CUST0084"/>
    <n v="1271.49"/>
  </r>
  <r>
    <n v="580"/>
    <x v="273"/>
    <x v="4"/>
    <s v="Electronics"/>
    <n v="1340.51"/>
    <n v="5"/>
    <n v="0.13"/>
    <n v="0.21"/>
    <s v="West"/>
    <s v="CUST0205"/>
    <n v="6702.55"/>
  </r>
  <r>
    <n v="581"/>
    <x v="140"/>
    <x v="0"/>
    <s v="Electronics"/>
    <n v="1447.02"/>
    <n v="5"/>
    <n v="0.03"/>
    <n v="0.11"/>
    <s v="North"/>
    <s v="CUST0220"/>
    <n v="7235.1"/>
  </r>
  <r>
    <n v="582"/>
    <x v="80"/>
    <x v="3"/>
    <s v="Accessories"/>
    <n v="958.25"/>
    <n v="2"/>
    <n v="0.04"/>
    <n v="0.18"/>
    <s v="East"/>
    <s v="CUST0088"/>
    <n v="1916.5"/>
  </r>
  <r>
    <n v="583"/>
    <x v="190"/>
    <x v="3"/>
    <s v="Accessories"/>
    <n v="1007.92"/>
    <n v="1"/>
    <n v="0.08"/>
    <n v="0.14000000000000001"/>
    <s v="West"/>
    <s v="CUST0073"/>
    <n v="1007.92"/>
  </r>
  <r>
    <n v="584"/>
    <x v="141"/>
    <x v="4"/>
    <s v="Electronics"/>
    <n v="464.63"/>
    <n v="5"/>
    <n v="0.14000000000000001"/>
    <n v="0.28999999999999998"/>
    <s v="West"/>
    <s v="CUST0279"/>
    <n v="2323.15"/>
  </r>
  <r>
    <n v="585"/>
    <x v="14"/>
    <x v="3"/>
    <s v="Accessories"/>
    <n v="96.07"/>
    <n v="5"/>
    <n v="0.15"/>
    <n v="0.22"/>
    <s v="South"/>
    <s v="CUST0295"/>
    <n v="480.34999999999997"/>
  </r>
  <r>
    <n v="586"/>
    <x v="130"/>
    <x v="4"/>
    <s v="Electronics"/>
    <n v="727.05"/>
    <n v="2"/>
    <n v="0.19"/>
    <n v="0.33"/>
    <s v="North"/>
    <s v="CUST0135"/>
    <n v="1454.1"/>
  </r>
  <r>
    <n v="587"/>
    <x v="1"/>
    <x v="2"/>
    <s v="Accessories"/>
    <n v="102.22"/>
    <n v="1"/>
    <n v="0.06"/>
    <n v="0.27"/>
    <s v="West"/>
    <s v="CUST0206"/>
    <n v="102.22"/>
  </r>
  <r>
    <n v="588"/>
    <x v="1"/>
    <x v="1"/>
    <s v="Accessories"/>
    <n v="1279.26"/>
    <n v="1"/>
    <n v="0.2"/>
    <n v="0.24"/>
    <s v="North"/>
    <s v="CUST0061"/>
    <n v="1279.26"/>
  </r>
  <r>
    <n v="589"/>
    <x v="154"/>
    <x v="3"/>
    <s v="Accessories"/>
    <n v="1024.77"/>
    <n v="5"/>
    <n v="0.01"/>
    <n v="0.22"/>
    <s v="North"/>
    <s v="CUST0128"/>
    <n v="5123.8500000000004"/>
  </r>
  <r>
    <n v="590"/>
    <x v="229"/>
    <x v="0"/>
    <s v="Electronics"/>
    <n v="986.17"/>
    <n v="2"/>
    <n v="0.22"/>
    <n v="0.39"/>
    <s v="East"/>
    <s v="CUST0280"/>
    <n v="1972.34"/>
  </r>
  <r>
    <n v="591"/>
    <x v="89"/>
    <x v="5"/>
    <s v="Electronics"/>
    <n v="1031.24"/>
    <n v="1"/>
    <n v="0.27"/>
    <n v="0.19"/>
    <s v="East"/>
    <s v="CUST0125"/>
    <n v="1031.24"/>
  </r>
  <r>
    <n v="592"/>
    <x v="284"/>
    <x v="2"/>
    <s v="Accessories"/>
    <n v="1008.63"/>
    <n v="1"/>
    <n v="0.03"/>
    <n v="0.25"/>
    <s v="West"/>
    <s v="CUST0004"/>
    <n v="1008.63"/>
  </r>
  <r>
    <n v="593"/>
    <x v="276"/>
    <x v="0"/>
    <s v="Electronics"/>
    <n v="172.3"/>
    <n v="2"/>
    <n v="0"/>
    <n v="0.21"/>
    <s v="West"/>
    <s v="CUST0129"/>
    <n v="344.6"/>
  </r>
  <r>
    <n v="594"/>
    <x v="118"/>
    <x v="5"/>
    <s v="Electronics"/>
    <n v="1261.44"/>
    <n v="1"/>
    <n v="0.04"/>
    <n v="0.22"/>
    <s v="South"/>
    <s v="CUST0015"/>
    <n v="1261.44"/>
  </r>
  <r>
    <n v="595"/>
    <x v="209"/>
    <x v="3"/>
    <s v="Accessories"/>
    <n v="512.11"/>
    <n v="4"/>
    <n v="0.18"/>
    <n v="0.1"/>
    <s v="North"/>
    <s v="CUST0246"/>
    <n v="2048.44"/>
  </r>
  <r>
    <n v="596"/>
    <x v="8"/>
    <x v="5"/>
    <s v="Electronics"/>
    <n v="1319.53"/>
    <n v="2"/>
    <n v="0.16"/>
    <n v="0.3"/>
    <s v="West"/>
    <s v="CUST0233"/>
    <n v="2639.06"/>
  </r>
  <r>
    <n v="597"/>
    <x v="26"/>
    <x v="3"/>
    <s v="Accessories"/>
    <n v="696.01"/>
    <n v="1"/>
    <n v="0.16"/>
    <n v="0.39"/>
    <s v="West"/>
    <s v="CUST0258"/>
    <n v="696.01"/>
  </r>
  <r>
    <n v="598"/>
    <x v="11"/>
    <x v="3"/>
    <s v="Accessories"/>
    <n v="873.65"/>
    <n v="2"/>
    <n v="0.23"/>
    <n v="0.34"/>
    <s v="North"/>
    <s v="CUST0179"/>
    <n v="1747.3"/>
  </r>
  <r>
    <n v="599"/>
    <x v="202"/>
    <x v="5"/>
    <s v="Electronics"/>
    <n v="293.07"/>
    <n v="5"/>
    <n v="0.1"/>
    <n v="0.32"/>
    <s v="South"/>
    <s v="CUST0127"/>
    <n v="1465.35"/>
  </r>
  <r>
    <n v="600"/>
    <x v="17"/>
    <x v="0"/>
    <s v="Electronics"/>
    <n v="538.44000000000005"/>
    <n v="4"/>
    <n v="0"/>
    <n v="0.19"/>
    <s v="East"/>
    <s v="CUST0203"/>
    <n v="2153.7600000000002"/>
  </r>
  <r>
    <n v="601"/>
    <x v="126"/>
    <x v="2"/>
    <s v="Accessories"/>
    <n v="1321.9"/>
    <n v="3"/>
    <n v="0.01"/>
    <n v="0.37"/>
    <s v="East"/>
    <s v="CUST0267"/>
    <n v="3965.7000000000003"/>
  </r>
  <r>
    <n v="602"/>
    <x v="112"/>
    <x v="1"/>
    <s v="Accessories"/>
    <n v="919.07"/>
    <n v="5"/>
    <n v="0.12"/>
    <n v="0.19"/>
    <s v="East"/>
    <s v="CUST0025"/>
    <n v="4595.3500000000004"/>
  </r>
  <r>
    <n v="603"/>
    <x v="192"/>
    <x v="2"/>
    <s v="Accessories"/>
    <n v="1072.45"/>
    <n v="5"/>
    <n v="7.0000000000000007E-2"/>
    <n v="0.25"/>
    <s v="North"/>
    <s v="CUST0154"/>
    <n v="5362.25"/>
  </r>
  <r>
    <n v="604"/>
    <x v="240"/>
    <x v="5"/>
    <s v="Electronics"/>
    <n v="113.08"/>
    <n v="4"/>
    <n v="0.02"/>
    <n v="0.39"/>
    <s v="South"/>
    <s v="CUST0147"/>
    <n v="452.32"/>
  </r>
  <r>
    <n v="605"/>
    <x v="237"/>
    <x v="2"/>
    <s v="Accessories"/>
    <n v="1183.1500000000001"/>
    <n v="4"/>
    <n v="0.16"/>
    <n v="0.39"/>
    <s v="West"/>
    <s v="CUST0184"/>
    <n v="4732.6000000000004"/>
  </r>
  <r>
    <n v="606"/>
    <x v="285"/>
    <x v="0"/>
    <s v="Electronics"/>
    <n v="1170.97"/>
    <n v="1"/>
    <n v="7.0000000000000007E-2"/>
    <n v="0.16"/>
    <s v="East"/>
    <s v="CUST0205"/>
    <n v="1170.97"/>
  </r>
  <r>
    <n v="607"/>
    <x v="196"/>
    <x v="3"/>
    <s v="Accessories"/>
    <n v="1346.71"/>
    <n v="1"/>
    <n v="0.23"/>
    <n v="0.27"/>
    <s v="West"/>
    <s v="CUST0202"/>
    <n v="1346.71"/>
  </r>
  <r>
    <n v="608"/>
    <x v="286"/>
    <x v="2"/>
    <s v="Accessories"/>
    <n v="1472.94"/>
    <n v="4"/>
    <n v="0.12"/>
    <n v="0.3"/>
    <s v="West"/>
    <s v="CUST0253"/>
    <n v="5891.76"/>
  </r>
  <r>
    <n v="609"/>
    <x v="287"/>
    <x v="4"/>
    <s v="Electronics"/>
    <n v="534.16"/>
    <n v="4"/>
    <n v="0.1"/>
    <n v="0.32"/>
    <s v="West"/>
    <s v="CUST0125"/>
    <n v="2136.64"/>
  </r>
  <r>
    <n v="610"/>
    <x v="19"/>
    <x v="5"/>
    <s v="Electronics"/>
    <n v="1337.96"/>
    <n v="1"/>
    <n v="0.21"/>
    <n v="0.31"/>
    <s v="North"/>
    <s v="CUST0293"/>
    <n v="1337.96"/>
  </r>
  <r>
    <n v="611"/>
    <x v="188"/>
    <x v="3"/>
    <s v="Accessories"/>
    <n v="758.54"/>
    <n v="1"/>
    <n v="0.13"/>
    <n v="0.14000000000000001"/>
    <s v="East"/>
    <s v="CUST0228"/>
    <n v="758.54"/>
  </r>
  <r>
    <n v="612"/>
    <x v="2"/>
    <x v="2"/>
    <s v="Accessories"/>
    <n v="381.79"/>
    <n v="5"/>
    <n v="0.28000000000000003"/>
    <n v="0.39"/>
    <s v="North"/>
    <s v="CUST0054"/>
    <n v="1908.95"/>
  </r>
  <r>
    <n v="613"/>
    <x v="288"/>
    <x v="0"/>
    <s v="Electronics"/>
    <n v="1394.77"/>
    <n v="2"/>
    <n v="0.16"/>
    <n v="0.15"/>
    <s v="West"/>
    <s v="CUST0124"/>
    <n v="2789.54"/>
  </r>
  <r>
    <n v="614"/>
    <x v="59"/>
    <x v="2"/>
    <s v="Accessories"/>
    <n v="89.75"/>
    <n v="5"/>
    <n v="0.14000000000000001"/>
    <n v="0.37"/>
    <s v="West"/>
    <s v="CUST0079"/>
    <n v="448.75"/>
  </r>
  <r>
    <n v="615"/>
    <x v="148"/>
    <x v="3"/>
    <s v="Accessories"/>
    <n v="1269.3800000000001"/>
    <n v="3"/>
    <n v="0.24"/>
    <n v="0.36"/>
    <s v="North"/>
    <s v="CUST0168"/>
    <n v="3808.1400000000003"/>
  </r>
  <r>
    <n v="616"/>
    <x v="289"/>
    <x v="3"/>
    <s v="Accessories"/>
    <n v="997.19"/>
    <n v="1"/>
    <n v="0.06"/>
    <n v="0.39"/>
    <s v="South"/>
    <s v="CUST0261"/>
    <n v="997.19"/>
  </r>
  <r>
    <n v="617"/>
    <x v="290"/>
    <x v="2"/>
    <s v="Accessories"/>
    <n v="624.84"/>
    <n v="3"/>
    <n v="0.28999999999999998"/>
    <n v="0.27"/>
    <s v="West"/>
    <s v="CUST0207"/>
    <n v="1874.52"/>
  </r>
  <r>
    <n v="618"/>
    <x v="219"/>
    <x v="1"/>
    <s v="Accessories"/>
    <n v="701.97"/>
    <n v="2"/>
    <n v="0.18"/>
    <n v="0.12"/>
    <s v="South"/>
    <s v="CUST0095"/>
    <n v="1403.94"/>
  </r>
  <r>
    <n v="619"/>
    <x v="279"/>
    <x v="1"/>
    <s v="Accessories"/>
    <n v="45.93"/>
    <n v="4"/>
    <n v="0.24"/>
    <n v="0.37"/>
    <s v="South"/>
    <s v="CUST0161"/>
    <n v="183.72"/>
  </r>
  <r>
    <n v="620"/>
    <x v="260"/>
    <x v="1"/>
    <s v="Accessories"/>
    <n v="1055.01"/>
    <n v="3"/>
    <n v="0.16"/>
    <n v="0.39"/>
    <s v="East"/>
    <s v="CUST0146"/>
    <n v="3165.0299999999997"/>
  </r>
  <r>
    <n v="621"/>
    <x v="291"/>
    <x v="5"/>
    <s v="Electronics"/>
    <n v="604.37"/>
    <n v="2"/>
    <n v="0.14000000000000001"/>
    <n v="0.32"/>
    <s v="South"/>
    <s v="CUST0280"/>
    <n v="1208.74"/>
  </r>
  <r>
    <n v="622"/>
    <x v="57"/>
    <x v="0"/>
    <s v="Electronics"/>
    <n v="969.91"/>
    <n v="1"/>
    <n v="0.05"/>
    <n v="0.27"/>
    <s v="South"/>
    <s v="CUST0147"/>
    <n v="969.91"/>
  </r>
  <r>
    <n v="623"/>
    <x v="258"/>
    <x v="2"/>
    <s v="Accessories"/>
    <n v="1286.43"/>
    <n v="4"/>
    <n v="0"/>
    <n v="0.1"/>
    <s v="North"/>
    <s v="CUST0180"/>
    <n v="5145.72"/>
  </r>
  <r>
    <n v="624"/>
    <x v="183"/>
    <x v="4"/>
    <s v="Electronics"/>
    <n v="581.04999999999995"/>
    <n v="4"/>
    <n v="7.0000000000000007E-2"/>
    <n v="0.28999999999999998"/>
    <s v="West"/>
    <s v="CUST0300"/>
    <n v="2324.1999999999998"/>
  </r>
  <r>
    <n v="625"/>
    <x v="157"/>
    <x v="5"/>
    <s v="Electronics"/>
    <n v="1216.92"/>
    <n v="2"/>
    <n v="0.15"/>
    <n v="0.34"/>
    <s v="East"/>
    <s v="CUST0030"/>
    <n v="2433.84"/>
  </r>
  <r>
    <n v="626"/>
    <x v="138"/>
    <x v="0"/>
    <s v="Electronics"/>
    <n v="657.34"/>
    <n v="1"/>
    <n v="0.12"/>
    <n v="0.37"/>
    <s v="West"/>
    <s v="CUST0142"/>
    <n v="657.34"/>
  </r>
  <r>
    <n v="627"/>
    <x v="292"/>
    <x v="0"/>
    <s v="Electronics"/>
    <n v="199.79"/>
    <n v="1"/>
    <n v="0.05"/>
    <n v="0.4"/>
    <s v="South"/>
    <s v="CUST0187"/>
    <n v="199.79"/>
  </r>
  <r>
    <n v="628"/>
    <x v="87"/>
    <x v="2"/>
    <s v="Accessories"/>
    <n v="1490.05"/>
    <n v="1"/>
    <n v="0.23"/>
    <n v="0.21"/>
    <s v="North"/>
    <s v="CUST0083"/>
    <n v="1490.05"/>
  </r>
  <r>
    <n v="629"/>
    <x v="293"/>
    <x v="2"/>
    <s v="Accessories"/>
    <n v="73.11"/>
    <n v="3"/>
    <n v="0.28999999999999998"/>
    <n v="0.27"/>
    <s v="South"/>
    <s v="CUST0207"/>
    <n v="219.32999999999998"/>
  </r>
  <r>
    <n v="630"/>
    <x v="294"/>
    <x v="1"/>
    <s v="Accessories"/>
    <n v="942.51"/>
    <n v="5"/>
    <n v="0.08"/>
    <n v="0.27"/>
    <s v="West"/>
    <s v="CUST0106"/>
    <n v="4712.55"/>
  </r>
  <r>
    <n v="631"/>
    <x v="117"/>
    <x v="1"/>
    <s v="Accessories"/>
    <n v="638.02"/>
    <n v="1"/>
    <n v="7.0000000000000007E-2"/>
    <n v="0.16"/>
    <s v="North"/>
    <s v="CUST0174"/>
    <n v="638.02"/>
  </r>
  <r>
    <n v="632"/>
    <x v="295"/>
    <x v="3"/>
    <s v="Accessories"/>
    <n v="1462.2"/>
    <n v="2"/>
    <n v="0.25"/>
    <n v="0.33"/>
    <s v="East"/>
    <s v="CUST0083"/>
    <n v="2924.4"/>
  </r>
  <r>
    <n v="633"/>
    <x v="296"/>
    <x v="3"/>
    <s v="Accessories"/>
    <n v="283.45"/>
    <n v="2"/>
    <n v="0.2"/>
    <n v="0.17"/>
    <s v="West"/>
    <s v="CUST0295"/>
    <n v="566.9"/>
  </r>
  <r>
    <n v="634"/>
    <x v="64"/>
    <x v="0"/>
    <s v="Electronics"/>
    <n v="882.89"/>
    <n v="3"/>
    <n v="0.17"/>
    <n v="0.23"/>
    <s v="North"/>
    <s v="CUST0108"/>
    <n v="2648.67"/>
  </r>
  <r>
    <n v="635"/>
    <x v="82"/>
    <x v="5"/>
    <s v="Electronics"/>
    <n v="1144.19"/>
    <n v="3"/>
    <n v="0.04"/>
    <n v="0.23"/>
    <s v="South"/>
    <s v="CUST0077"/>
    <n v="3432.57"/>
  </r>
  <r>
    <n v="636"/>
    <x v="285"/>
    <x v="3"/>
    <s v="Accessories"/>
    <n v="1272.6300000000001"/>
    <n v="5"/>
    <n v="0.13"/>
    <n v="0.33"/>
    <s v="North"/>
    <s v="CUST0051"/>
    <n v="6363.1500000000005"/>
  </r>
  <r>
    <n v="637"/>
    <x v="14"/>
    <x v="5"/>
    <s v="Electronics"/>
    <n v="1336.11"/>
    <n v="2"/>
    <n v="0.06"/>
    <n v="0.28000000000000003"/>
    <s v="North"/>
    <s v="CUST0078"/>
    <n v="2672.22"/>
  </r>
  <r>
    <n v="638"/>
    <x v="189"/>
    <x v="0"/>
    <s v="Electronics"/>
    <n v="461.15"/>
    <n v="4"/>
    <n v="0.19"/>
    <n v="0.21"/>
    <s v="North"/>
    <s v="CUST0163"/>
    <n v="1844.6"/>
  </r>
  <r>
    <n v="639"/>
    <x v="124"/>
    <x v="3"/>
    <s v="Accessories"/>
    <n v="1322.26"/>
    <n v="1"/>
    <n v="0.12"/>
    <n v="0.34"/>
    <s v="North"/>
    <s v="CUST0050"/>
    <n v="1322.26"/>
  </r>
  <r>
    <n v="640"/>
    <x v="123"/>
    <x v="4"/>
    <s v="Electronics"/>
    <n v="95.27"/>
    <n v="4"/>
    <n v="0.21"/>
    <n v="0.33"/>
    <s v="East"/>
    <s v="CUST0270"/>
    <n v="381.08"/>
  </r>
  <r>
    <n v="641"/>
    <x v="231"/>
    <x v="5"/>
    <s v="Electronics"/>
    <n v="248.6"/>
    <n v="1"/>
    <n v="0.14000000000000001"/>
    <n v="0.11"/>
    <s v="West"/>
    <s v="CUST0069"/>
    <n v="248.6"/>
  </r>
  <r>
    <n v="642"/>
    <x v="45"/>
    <x v="3"/>
    <s v="Accessories"/>
    <n v="652.21"/>
    <n v="5"/>
    <n v="0.12"/>
    <n v="0.26"/>
    <s v="West"/>
    <s v="CUST0200"/>
    <n v="3261.05"/>
  </r>
  <r>
    <n v="643"/>
    <x v="144"/>
    <x v="0"/>
    <s v="Electronics"/>
    <n v="25.02"/>
    <n v="1"/>
    <n v="0.02"/>
    <n v="0.21"/>
    <s v="North"/>
    <s v="CUST0152"/>
    <n v="25.02"/>
  </r>
  <r>
    <n v="644"/>
    <x v="70"/>
    <x v="0"/>
    <s v="Electronics"/>
    <n v="1460.29"/>
    <n v="5"/>
    <n v="0.09"/>
    <n v="0.17"/>
    <s v="East"/>
    <s v="CUST0045"/>
    <n v="7301.45"/>
  </r>
  <r>
    <n v="645"/>
    <x v="62"/>
    <x v="4"/>
    <s v="Electronics"/>
    <n v="101.55"/>
    <n v="4"/>
    <n v="0.28999999999999998"/>
    <n v="0.17"/>
    <s v="South"/>
    <s v="CUST0012"/>
    <n v="406.2"/>
  </r>
  <r>
    <n v="646"/>
    <x v="297"/>
    <x v="2"/>
    <s v="Accessories"/>
    <n v="638.52"/>
    <n v="5"/>
    <n v="0.13"/>
    <n v="0.19"/>
    <s v="South"/>
    <s v="CUST0001"/>
    <n v="3192.6"/>
  </r>
  <r>
    <n v="647"/>
    <x v="247"/>
    <x v="2"/>
    <s v="Accessories"/>
    <n v="1231.5899999999999"/>
    <n v="3"/>
    <n v="0.08"/>
    <n v="0.14000000000000001"/>
    <s v="North"/>
    <s v="CUST0280"/>
    <n v="3694.7699999999995"/>
  </r>
  <r>
    <n v="648"/>
    <x v="63"/>
    <x v="2"/>
    <s v="Accessories"/>
    <n v="1214.8699999999999"/>
    <n v="5"/>
    <n v="0.16"/>
    <n v="0.14000000000000001"/>
    <s v="North"/>
    <s v="CUST0176"/>
    <n v="6074.3499999999995"/>
  </r>
  <r>
    <n v="649"/>
    <x v="33"/>
    <x v="1"/>
    <s v="Accessories"/>
    <n v="140.72"/>
    <n v="2"/>
    <n v="0.21"/>
    <n v="0.15"/>
    <s v="West"/>
    <s v="CUST0001"/>
    <n v="281.44"/>
  </r>
  <r>
    <n v="650"/>
    <x v="277"/>
    <x v="0"/>
    <s v="Electronics"/>
    <n v="788.45"/>
    <n v="1"/>
    <n v="0.28999999999999998"/>
    <n v="0.11"/>
    <s v="South"/>
    <s v="CUST0263"/>
    <n v="788.45"/>
  </r>
  <r>
    <n v="651"/>
    <x v="94"/>
    <x v="1"/>
    <s v="Accessories"/>
    <n v="912.29"/>
    <n v="4"/>
    <n v="0.19"/>
    <n v="0.14000000000000001"/>
    <s v="South"/>
    <s v="CUST0219"/>
    <n v="3649.16"/>
  </r>
  <r>
    <n v="652"/>
    <x v="298"/>
    <x v="1"/>
    <s v="Accessories"/>
    <n v="176.21"/>
    <n v="1"/>
    <n v="0.21"/>
    <n v="0.15"/>
    <s v="South"/>
    <s v="CUST0263"/>
    <n v="176.21"/>
  </r>
  <r>
    <n v="653"/>
    <x v="27"/>
    <x v="4"/>
    <s v="Electronics"/>
    <n v="1401.06"/>
    <n v="2"/>
    <n v="0.21"/>
    <n v="0.31"/>
    <s v="East"/>
    <s v="CUST0177"/>
    <n v="2802.12"/>
  </r>
  <r>
    <n v="654"/>
    <x v="298"/>
    <x v="3"/>
    <s v="Accessories"/>
    <n v="1383.47"/>
    <n v="2"/>
    <n v="0.22"/>
    <n v="0.36"/>
    <s v="North"/>
    <s v="CUST0141"/>
    <n v="2766.94"/>
  </r>
  <r>
    <n v="655"/>
    <x v="255"/>
    <x v="5"/>
    <s v="Electronics"/>
    <n v="70.52"/>
    <n v="1"/>
    <n v="0.06"/>
    <n v="0.2"/>
    <s v="West"/>
    <s v="CUST0217"/>
    <n v="70.52"/>
  </r>
  <r>
    <n v="656"/>
    <x v="64"/>
    <x v="1"/>
    <s v="Accessories"/>
    <n v="1006.09"/>
    <n v="5"/>
    <n v="0.26"/>
    <n v="0.31"/>
    <s v="West"/>
    <s v="CUST0256"/>
    <n v="5030.45"/>
  </r>
  <r>
    <n v="657"/>
    <x v="189"/>
    <x v="1"/>
    <s v="Accessories"/>
    <n v="1014.81"/>
    <n v="5"/>
    <n v="0.28000000000000003"/>
    <n v="0.25"/>
    <s v="West"/>
    <s v="CUST0193"/>
    <n v="5074.0499999999993"/>
  </r>
  <r>
    <n v="658"/>
    <x v="299"/>
    <x v="1"/>
    <s v="Accessories"/>
    <n v="772.34"/>
    <n v="4"/>
    <n v="0.12"/>
    <n v="0.11"/>
    <s v="South"/>
    <s v="CUST0287"/>
    <n v="3089.36"/>
  </r>
  <r>
    <n v="659"/>
    <x v="169"/>
    <x v="0"/>
    <s v="Electronics"/>
    <n v="1062.96"/>
    <n v="2"/>
    <n v="0.13"/>
    <n v="0.17"/>
    <s v="South"/>
    <s v="CUST0060"/>
    <n v="2125.92"/>
  </r>
  <r>
    <n v="660"/>
    <x v="295"/>
    <x v="5"/>
    <s v="Electronics"/>
    <n v="764.1"/>
    <n v="1"/>
    <n v="0.16"/>
    <n v="0.26"/>
    <s v="East"/>
    <s v="CUST0220"/>
    <n v="764.1"/>
  </r>
  <r>
    <n v="661"/>
    <x v="36"/>
    <x v="2"/>
    <s v="Accessories"/>
    <n v="480.53"/>
    <n v="5"/>
    <n v="0.28999999999999998"/>
    <n v="0.31"/>
    <s v="West"/>
    <s v="CUST0298"/>
    <n v="2402.6499999999996"/>
  </r>
  <r>
    <n v="662"/>
    <x v="300"/>
    <x v="0"/>
    <s v="Electronics"/>
    <n v="609.91999999999996"/>
    <n v="3"/>
    <n v="0.26"/>
    <n v="0.34"/>
    <s v="North"/>
    <s v="CUST0002"/>
    <n v="1829.7599999999998"/>
  </r>
  <r>
    <n v="663"/>
    <x v="301"/>
    <x v="4"/>
    <s v="Electronics"/>
    <n v="481.94"/>
    <n v="2"/>
    <n v="0.26"/>
    <n v="0.3"/>
    <s v="South"/>
    <s v="CUST0168"/>
    <n v="963.88"/>
  </r>
  <r>
    <n v="664"/>
    <x v="70"/>
    <x v="1"/>
    <s v="Accessories"/>
    <n v="394.44"/>
    <n v="3"/>
    <n v="0.26"/>
    <n v="0.39"/>
    <s v="South"/>
    <s v="CUST0259"/>
    <n v="1183.32"/>
  </r>
  <r>
    <n v="665"/>
    <x v="13"/>
    <x v="3"/>
    <s v="Accessories"/>
    <n v="42.93"/>
    <n v="4"/>
    <n v="0.06"/>
    <n v="0.11"/>
    <s v="West"/>
    <s v="CUST0110"/>
    <n v="171.72"/>
  </r>
  <r>
    <n v="666"/>
    <x v="19"/>
    <x v="3"/>
    <s v="Accessories"/>
    <n v="477.5"/>
    <n v="3"/>
    <n v="0.12"/>
    <n v="0.38"/>
    <s v="North"/>
    <s v="CUST0086"/>
    <n v="1432.5"/>
  </r>
  <r>
    <n v="667"/>
    <x v="302"/>
    <x v="0"/>
    <s v="Electronics"/>
    <n v="1105.73"/>
    <n v="5"/>
    <n v="0.02"/>
    <n v="0.34"/>
    <s v="North"/>
    <s v="CUST0292"/>
    <n v="5528.65"/>
  </r>
  <r>
    <n v="668"/>
    <x v="247"/>
    <x v="4"/>
    <s v="Electronics"/>
    <n v="148.78"/>
    <n v="1"/>
    <n v="0.21"/>
    <n v="0.2"/>
    <s v="West"/>
    <s v="CUST0206"/>
    <n v="148.78"/>
  </r>
  <r>
    <n v="669"/>
    <x v="192"/>
    <x v="4"/>
    <s v="Electronics"/>
    <n v="587.63"/>
    <n v="1"/>
    <n v="0.19"/>
    <n v="0.3"/>
    <s v="South"/>
    <s v="CUST0208"/>
    <n v="587.63"/>
  </r>
  <r>
    <n v="670"/>
    <x v="172"/>
    <x v="2"/>
    <s v="Accessories"/>
    <n v="196.38"/>
    <n v="3"/>
    <n v="0.24"/>
    <n v="0.28000000000000003"/>
    <s v="North"/>
    <s v="CUST0188"/>
    <n v="589.14"/>
  </r>
  <r>
    <n v="671"/>
    <x v="18"/>
    <x v="3"/>
    <s v="Accessories"/>
    <n v="504.75"/>
    <n v="2"/>
    <n v="0.27"/>
    <n v="0.1"/>
    <s v="North"/>
    <s v="CUST0075"/>
    <n v="1009.5"/>
  </r>
  <r>
    <n v="672"/>
    <x v="302"/>
    <x v="1"/>
    <s v="Accessories"/>
    <n v="790.08"/>
    <n v="1"/>
    <n v="0.03"/>
    <n v="0.26"/>
    <s v="East"/>
    <s v="CUST0033"/>
    <n v="790.08"/>
  </r>
  <r>
    <n v="673"/>
    <x v="265"/>
    <x v="4"/>
    <s v="Electronics"/>
    <n v="844.36"/>
    <n v="2"/>
    <n v="0.21"/>
    <n v="0.23"/>
    <s v="North"/>
    <s v="CUST0052"/>
    <n v="1688.72"/>
  </r>
  <r>
    <n v="674"/>
    <x v="145"/>
    <x v="3"/>
    <s v="Accessories"/>
    <n v="791.56"/>
    <n v="3"/>
    <n v="0.18"/>
    <n v="0.26"/>
    <s v="East"/>
    <s v="CUST0248"/>
    <n v="2374.6799999999998"/>
  </r>
  <r>
    <n v="675"/>
    <x v="219"/>
    <x v="0"/>
    <s v="Electronics"/>
    <n v="421.09"/>
    <n v="4"/>
    <n v="0.16"/>
    <n v="0.31"/>
    <s v="East"/>
    <s v="CUST0295"/>
    <n v="1684.36"/>
  </r>
  <r>
    <n v="676"/>
    <x v="14"/>
    <x v="1"/>
    <s v="Accessories"/>
    <n v="915.36"/>
    <n v="3"/>
    <n v="0.02"/>
    <n v="0.39"/>
    <s v="South"/>
    <s v="CUST0007"/>
    <n v="2746.08"/>
  </r>
  <r>
    <n v="677"/>
    <x v="283"/>
    <x v="5"/>
    <s v="Electronics"/>
    <n v="160.80000000000001"/>
    <n v="4"/>
    <n v="0.14000000000000001"/>
    <n v="0.13"/>
    <s v="West"/>
    <s v="CUST0047"/>
    <n v="643.20000000000005"/>
  </r>
  <r>
    <n v="678"/>
    <x v="26"/>
    <x v="3"/>
    <s v="Accessories"/>
    <n v="419.42"/>
    <n v="2"/>
    <n v="0.21"/>
    <n v="0.21"/>
    <s v="West"/>
    <s v="CUST0117"/>
    <n v="838.84"/>
  </r>
  <r>
    <n v="679"/>
    <x v="1"/>
    <x v="0"/>
    <s v="Electronics"/>
    <n v="1022.14"/>
    <n v="1"/>
    <n v="0.2"/>
    <n v="0.28000000000000003"/>
    <s v="South"/>
    <s v="CUST0240"/>
    <n v="1022.14"/>
  </r>
  <r>
    <n v="680"/>
    <x v="219"/>
    <x v="3"/>
    <s v="Accessories"/>
    <n v="393.05"/>
    <n v="2"/>
    <n v="0.26"/>
    <n v="0.38"/>
    <s v="South"/>
    <s v="CUST0166"/>
    <n v="786.1"/>
  </r>
  <r>
    <n v="681"/>
    <x v="289"/>
    <x v="4"/>
    <s v="Electronics"/>
    <n v="687.4"/>
    <n v="5"/>
    <n v="0.28000000000000003"/>
    <n v="0.32"/>
    <s v="West"/>
    <s v="CUST0235"/>
    <n v="3437"/>
  </r>
  <r>
    <n v="682"/>
    <x v="234"/>
    <x v="2"/>
    <s v="Accessories"/>
    <n v="34.86"/>
    <n v="4"/>
    <n v="0.21"/>
    <n v="0.3"/>
    <s v="East"/>
    <s v="CUST0209"/>
    <n v="139.44"/>
  </r>
  <r>
    <n v="683"/>
    <x v="93"/>
    <x v="0"/>
    <s v="Electronics"/>
    <n v="950.54"/>
    <n v="5"/>
    <n v="0.17"/>
    <n v="0.18"/>
    <s v="South"/>
    <s v="CUST0144"/>
    <n v="4752.7"/>
  </r>
  <r>
    <n v="684"/>
    <x v="61"/>
    <x v="5"/>
    <s v="Electronics"/>
    <n v="1410.99"/>
    <n v="2"/>
    <n v="0.12"/>
    <n v="0.35"/>
    <s v="South"/>
    <s v="CUST0183"/>
    <n v="2821.98"/>
  </r>
  <r>
    <n v="685"/>
    <x v="178"/>
    <x v="3"/>
    <s v="Accessories"/>
    <n v="1115.6300000000001"/>
    <n v="1"/>
    <n v="0.15"/>
    <n v="0.32"/>
    <s v="South"/>
    <s v="CUST0044"/>
    <n v="1115.6300000000001"/>
  </r>
  <r>
    <n v="686"/>
    <x v="189"/>
    <x v="0"/>
    <s v="Electronics"/>
    <n v="161.62"/>
    <n v="3"/>
    <n v="0.03"/>
    <n v="0.34"/>
    <s v="West"/>
    <s v="CUST0024"/>
    <n v="484.86"/>
  </r>
  <r>
    <n v="687"/>
    <x v="254"/>
    <x v="1"/>
    <s v="Accessories"/>
    <n v="1230.45"/>
    <n v="3"/>
    <n v="0.22"/>
    <n v="0.1"/>
    <s v="North"/>
    <s v="CUST0093"/>
    <n v="3691.3500000000004"/>
  </r>
  <r>
    <n v="688"/>
    <x v="95"/>
    <x v="2"/>
    <s v="Accessories"/>
    <n v="363.03"/>
    <n v="3"/>
    <n v="0.19"/>
    <n v="0.17"/>
    <s v="West"/>
    <s v="CUST0182"/>
    <n v="1089.0899999999999"/>
  </r>
  <r>
    <n v="689"/>
    <x v="247"/>
    <x v="1"/>
    <s v="Accessories"/>
    <n v="325.94"/>
    <n v="1"/>
    <n v="0.25"/>
    <n v="0.12"/>
    <s v="East"/>
    <s v="CUST0236"/>
    <n v="325.94"/>
  </r>
  <r>
    <n v="690"/>
    <x v="282"/>
    <x v="0"/>
    <s v="Electronics"/>
    <n v="68.52"/>
    <n v="1"/>
    <n v="0.06"/>
    <n v="0.18"/>
    <s v="South"/>
    <s v="CUST0267"/>
    <n v="68.52"/>
  </r>
  <r>
    <n v="691"/>
    <x v="50"/>
    <x v="2"/>
    <s v="Accessories"/>
    <n v="117.23"/>
    <n v="5"/>
    <n v="0.13"/>
    <n v="0.16"/>
    <s v="West"/>
    <s v="CUST0053"/>
    <n v="586.15"/>
  </r>
  <r>
    <n v="692"/>
    <x v="233"/>
    <x v="4"/>
    <s v="Electronics"/>
    <n v="1017.49"/>
    <n v="2"/>
    <n v="0.11"/>
    <n v="0.2"/>
    <s v="South"/>
    <s v="CUST0085"/>
    <n v="2034.98"/>
  </r>
  <r>
    <n v="693"/>
    <x v="242"/>
    <x v="1"/>
    <s v="Accessories"/>
    <n v="1212.51"/>
    <n v="3"/>
    <n v="0.15"/>
    <n v="0.18"/>
    <s v="West"/>
    <s v="CUST0046"/>
    <n v="3637.5299999999997"/>
  </r>
  <r>
    <n v="694"/>
    <x v="154"/>
    <x v="2"/>
    <s v="Accessories"/>
    <n v="611.24"/>
    <n v="1"/>
    <n v="0.08"/>
    <n v="0.4"/>
    <s v="North"/>
    <s v="CUST0130"/>
    <n v="611.24"/>
  </r>
  <r>
    <n v="695"/>
    <x v="248"/>
    <x v="2"/>
    <s v="Accessories"/>
    <n v="125.98"/>
    <n v="2"/>
    <n v="0.13"/>
    <n v="0.16"/>
    <s v="East"/>
    <s v="CUST0074"/>
    <n v="251.96"/>
  </r>
  <r>
    <n v="696"/>
    <x v="181"/>
    <x v="2"/>
    <s v="Accessories"/>
    <n v="819.04"/>
    <n v="1"/>
    <n v="0.26"/>
    <n v="0.37"/>
    <s v="West"/>
    <s v="CUST0122"/>
    <n v="819.04"/>
  </r>
  <r>
    <n v="697"/>
    <x v="275"/>
    <x v="3"/>
    <s v="Accessories"/>
    <n v="1008.03"/>
    <n v="3"/>
    <n v="0.14000000000000001"/>
    <n v="0.28999999999999998"/>
    <s v="South"/>
    <s v="CUST0095"/>
    <n v="3024.09"/>
  </r>
  <r>
    <n v="698"/>
    <x v="248"/>
    <x v="5"/>
    <s v="Electronics"/>
    <n v="965.98"/>
    <n v="2"/>
    <n v="0.15"/>
    <n v="0.26"/>
    <s v="East"/>
    <s v="CUST0077"/>
    <n v="1931.96"/>
  </r>
  <r>
    <n v="699"/>
    <x v="290"/>
    <x v="2"/>
    <s v="Accessories"/>
    <n v="1406.01"/>
    <n v="4"/>
    <n v="0.13"/>
    <n v="0.25"/>
    <s v="West"/>
    <s v="CUST0296"/>
    <n v="5624.04"/>
  </r>
  <r>
    <n v="700"/>
    <x v="174"/>
    <x v="2"/>
    <s v="Accessories"/>
    <n v="908.3"/>
    <n v="5"/>
    <n v="0.09"/>
    <n v="0.25"/>
    <s v="West"/>
    <s v="CUST0146"/>
    <n v="4541.5"/>
  </r>
  <r>
    <n v="701"/>
    <x v="203"/>
    <x v="3"/>
    <s v="Accessories"/>
    <n v="717.55"/>
    <n v="4"/>
    <n v="0.06"/>
    <n v="0.18"/>
    <s v="West"/>
    <s v="CUST0076"/>
    <n v="2870.2"/>
  </r>
  <r>
    <n v="702"/>
    <x v="98"/>
    <x v="5"/>
    <s v="Electronics"/>
    <n v="629.26"/>
    <n v="2"/>
    <n v="0.12"/>
    <n v="0.38"/>
    <s v="East"/>
    <s v="CUST0012"/>
    <n v="1258.52"/>
  </r>
  <r>
    <n v="703"/>
    <x v="198"/>
    <x v="0"/>
    <s v="Electronics"/>
    <n v="261.68"/>
    <n v="5"/>
    <n v="0.24"/>
    <n v="0.38"/>
    <s v="East"/>
    <s v="CUST0151"/>
    <n v="1308.4000000000001"/>
  </r>
  <r>
    <n v="704"/>
    <x v="110"/>
    <x v="4"/>
    <s v="Electronics"/>
    <n v="1325.49"/>
    <n v="5"/>
    <n v="0.25"/>
    <n v="0.23"/>
    <s v="East"/>
    <s v="CUST0144"/>
    <n v="6627.45"/>
  </r>
  <r>
    <n v="705"/>
    <x v="272"/>
    <x v="5"/>
    <s v="Electronics"/>
    <n v="36.75"/>
    <n v="4"/>
    <n v="7.0000000000000007E-2"/>
    <n v="0.25"/>
    <s v="South"/>
    <s v="CUST0090"/>
    <n v="147"/>
  </r>
  <r>
    <n v="706"/>
    <x v="44"/>
    <x v="3"/>
    <s v="Accessories"/>
    <n v="400.95"/>
    <n v="5"/>
    <n v="0.11"/>
    <n v="0.35"/>
    <s v="South"/>
    <s v="CUST0183"/>
    <n v="2004.75"/>
  </r>
  <r>
    <n v="707"/>
    <x v="285"/>
    <x v="0"/>
    <s v="Electronics"/>
    <n v="1246.47"/>
    <n v="5"/>
    <n v="0.1"/>
    <n v="0.21"/>
    <s v="South"/>
    <s v="CUST0184"/>
    <n v="6232.35"/>
  </r>
  <r>
    <n v="708"/>
    <x v="303"/>
    <x v="3"/>
    <s v="Accessories"/>
    <n v="425.46"/>
    <n v="1"/>
    <n v="0.1"/>
    <n v="0.37"/>
    <s v="East"/>
    <s v="CUST0186"/>
    <n v="425.46"/>
  </r>
  <r>
    <n v="709"/>
    <x v="208"/>
    <x v="2"/>
    <s v="Accessories"/>
    <n v="841.22"/>
    <n v="3"/>
    <n v="0.1"/>
    <n v="0.26"/>
    <s v="South"/>
    <s v="CUST0156"/>
    <n v="2523.66"/>
  </r>
  <r>
    <n v="710"/>
    <x v="144"/>
    <x v="2"/>
    <s v="Accessories"/>
    <n v="1023.49"/>
    <n v="1"/>
    <n v="0.1"/>
    <n v="0.24"/>
    <s v="East"/>
    <s v="CUST0254"/>
    <n v="1023.49"/>
  </r>
  <r>
    <n v="711"/>
    <x v="139"/>
    <x v="1"/>
    <s v="Accessories"/>
    <n v="44.55"/>
    <n v="1"/>
    <n v="0.05"/>
    <n v="0.3"/>
    <s v="West"/>
    <s v="CUST0237"/>
    <n v="44.55"/>
  </r>
  <r>
    <n v="712"/>
    <x v="260"/>
    <x v="3"/>
    <s v="Accessories"/>
    <n v="1089.8499999999999"/>
    <n v="4"/>
    <n v="7.0000000000000007E-2"/>
    <n v="0.14000000000000001"/>
    <s v="South"/>
    <s v="CUST0096"/>
    <n v="4359.3999999999996"/>
  </r>
  <r>
    <n v="713"/>
    <x v="291"/>
    <x v="1"/>
    <s v="Accessories"/>
    <n v="27.94"/>
    <n v="2"/>
    <n v="0.16"/>
    <n v="0.34"/>
    <s v="East"/>
    <s v="CUST0156"/>
    <n v="55.88"/>
  </r>
  <r>
    <n v="714"/>
    <x v="113"/>
    <x v="2"/>
    <s v="Accessories"/>
    <n v="263.01"/>
    <n v="1"/>
    <n v="0.1"/>
    <n v="0.22"/>
    <s v="North"/>
    <s v="CUST0141"/>
    <n v="263.01"/>
  </r>
  <r>
    <n v="715"/>
    <x v="28"/>
    <x v="4"/>
    <s v="Electronics"/>
    <n v="547.54999999999995"/>
    <n v="4"/>
    <n v="0.17"/>
    <n v="0.14000000000000001"/>
    <s v="West"/>
    <s v="CUST0116"/>
    <n v="2190.1999999999998"/>
  </r>
  <r>
    <n v="716"/>
    <x v="42"/>
    <x v="3"/>
    <s v="Accessories"/>
    <n v="921.44"/>
    <n v="3"/>
    <n v="0.1"/>
    <n v="0.32"/>
    <s v="West"/>
    <s v="CUST0218"/>
    <n v="2764.32"/>
  </r>
  <r>
    <n v="717"/>
    <x v="304"/>
    <x v="1"/>
    <s v="Accessories"/>
    <n v="934.04"/>
    <n v="5"/>
    <n v="0.12"/>
    <n v="0.33"/>
    <s v="North"/>
    <s v="CUST0042"/>
    <n v="4670.2"/>
  </r>
  <r>
    <n v="718"/>
    <x v="139"/>
    <x v="2"/>
    <s v="Accessories"/>
    <n v="1026.49"/>
    <n v="2"/>
    <n v="0.05"/>
    <n v="0.25"/>
    <s v="South"/>
    <s v="CUST0137"/>
    <n v="2052.98"/>
  </r>
  <r>
    <n v="719"/>
    <x v="289"/>
    <x v="4"/>
    <s v="Electronics"/>
    <n v="1309.03"/>
    <n v="2"/>
    <n v="0.01"/>
    <n v="0.38"/>
    <s v="East"/>
    <s v="CUST0242"/>
    <n v="2618.06"/>
  </r>
  <r>
    <n v="720"/>
    <x v="160"/>
    <x v="4"/>
    <s v="Electronics"/>
    <n v="918.32"/>
    <n v="5"/>
    <n v="0.1"/>
    <n v="0.14000000000000001"/>
    <s v="West"/>
    <s v="CUST0179"/>
    <n v="4591.6000000000004"/>
  </r>
  <r>
    <n v="721"/>
    <x v="202"/>
    <x v="3"/>
    <s v="Accessories"/>
    <n v="780.62"/>
    <n v="5"/>
    <n v="0.12"/>
    <n v="0.37"/>
    <s v="North"/>
    <s v="CUST0139"/>
    <n v="3903.1"/>
  </r>
  <r>
    <n v="722"/>
    <x v="209"/>
    <x v="2"/>
    <s v="Accessories"/>
    <n v="1165.1600000000001"/>
    <n v="5"/>
    <n v="0.23"/>
    <n v="0.28000000000000003"/>
    <s v="West"/>
    <s v="CUST0294"/>
    <n v="5825.8"/>
  </r>
  <r>
    <n v="723"/>
    <x v="160"/>
    <x v="0"/>
    <s v="Electronics"/>
    <n v="126.84"/>
    <n v="5"/>
    <n v="0.12"/>
    <n v="0.37"/>
    <s v="West"/>
    <s v="CUST0043"/>
    <n v="634.20000000000005"/>
  </r>
  <r>
    <n v="724"/>
    <x v="97"/>
    <x v="3"/>
    <s v="Accessories"/>
    <n v="398.58"/>
    <n v="1"/>
    <n v="0.22"/>
    <n v="0.31"/>
    <s v="East"/>
    <s v="CUST0218"/>
    <n v="398.58"/>
  </r>
  <r>
    <n v="725"/>
    <x v="147"/>
    <x v="5"/>
    <s v="Electronics"/>
    <n v="1258.27"/>
    <n v="1"/>
    <n v="0.26"/>
    <n v="0.16"/>
    <s v="North"/>
    <s v="CUST0111"/>
    <n v="1258.27"/>
  </r>
  <r>
    <n v="726"/>
    <x v="36"/>
    <x v="4"/>
    <s v="Electronics"/>
    <n v="517.1"/>
    <n v="1"/>
    <n v="0.16"/>
    <n v="0.25"/>
    <s v="North"/>
    <s v="CUST0157"/>
    <n v="517.1"/>
  </r>
  <r>
    <n v="727"/>
    <x v="246"/>
    <x v="1"/>
    <s v="Accessories"/>
    <n v="1286.0899999999999"/>
    <n v="5"/>
    <n v="0.15"/>
    <n v="0.1"/>
    <s v="West"/>
    <s v="CUST0041"/>
    <n v="6430.45"/>
  </r>
  <r>
    <n v="728"/>
    <x v="31"/>
    <x v="3"/>
    <s v="Accessories"/>
    <n v="980.47"/>
    <n v="2"/>
    <n v="0.27"/>
    <n v="0.16"/>
    <s v="West"/>
    <s v="CUST0209"/>
    <n v="1960.94"/>
  </r>
  <r>
    <n v="729"/>
    <x v="108"/>
    <x v="4"/>
    <s v="Electronics"/>
    <n v="86.93"/>
    <n v="4"/>
    <n v="0.05"/>
    <n v="0.32"/>
    <s v="East"/>
    <s v="CUST0187"/>
    <n v="347.72"/>
  </r>
  <r>
    <n v="730"/>
    <x v="305"/>
    <x v="0"/>
    <s v="Electronics"/>
    <n v="123.18"/>
    <n v="1"/>
    <n v="0.28999999999999998"/>
    <n v="0.24"/>
    <s v="West"/>
    <s v="CUST0078"/>
    <n v="123.18"/>
  </r>
  <r>
    <n v="731"/>
    <x v="230"/>
    <x v="5"/>
    <s v="Electronics"/>
    <n v="1210.6300000000001"/>
    <n v="4"/>
    <n v="0.3"/>
    <n v="0.27"/>
    <s v="North"/>
    <s v="CUST0202"/>
    <n v="4842.5200000000004"/>
  </r>
  <r>
    <n v="732"/>
    <x v="166"/>
    <x v="3"/>
    <s v="Accessories"/>
    <n v="683.42"/>
    <n v="3"/>
    <n v="0.11"/>
    <n v="0.21"/>
    <s v="East"/>
    <s v="CUST0078"/>
    <n v="2050.2599999999998"/>
  </r>
  <r>
    <n v="733"/>
    <x v="113"/>
    <x v="4"/>
    <s v="Electronics"/>
    <n v="1067.29"/>
    <n v="4"/>
    <n v="0.14000000000000001"/>
    <n v="0.32"/>
    <s v="South"/>
    <s v="CUST0156"/>
    <n v="4269.16"/>
  </r>
  <r>
    <n v="734"/>
    <x v="156"/>
    <x v="1"/>
    <s v="Accessories"/>
    <n v="541.16999999999996"/>
    <n v="3"/>
    <n v="0.11"/>
    <n v="0.35"/>
    <s v="North"/>
    <s v="CUST0235"/>
    <n v="1623.5099999999998"/>
  </r>
  <r>
    <n v="735"/>
    <x v="106"/>
    <x v="3"/>
    <s v="Accessories"/>
    <n v="738.88"/>
    <n v="4"/>
    <n v="0.19"/>
    <n v="0.13"/>
    <s v="West"/>
    <s v="CUST0244"/>
    <n v="2955.52"/>
  </r>
  <r>
    <n v="736"/>
    <x v="94"/>
    <x v="5"/>
    <s v="Electronics"/>
    <n v="96.77"/>
    <n v="4"/>
    <n v="0.23"/>
    <n v="0.28000000000000003"/>
    <s v="West"/>
    <s v="CUST0107"/>
    <n v="387.08"/>
  </r>
  <r>
    <n v="737"/>
    <x v="150"/>
    <x v="4"/>
    <s v="Electronics"/>
    <n v="793.58"/>
    <n v="2"/>
    <n v="0.23"/>
    <n v="0.1"/>
    <s v="South"/>
    <s v="CUST0200"/>
    <n v="1587.16"/>
  </r>
  <r>
    <n v="738"/>
    <x v="65"/>
    <x v="0"/>
    <s v="Electronics"/>
    <n v="940.2"/>
    <n v="5"/>
    <n v="0.12"/>
    <n v="0.3"/>
    <s v="North"/>
    <s v="CUST0052"/>
    <n v="4701"/>
  </r>
  <r>
    <n v="739"/>
    <x v="194"/>
    <x v="3"/>
    <s v="Accessories"/>
    <n v="601.36"/>
    <n v="2"/>
    <n v="0.27"/>
    <n v="0.33"/>
    <s v="North"/>
    <s v="CUST0276"/>
    <n v="1202.72"/>
  </r>
  <r>
    <n v="740"/>
    <x v="18"/>
    <x v="2"/>
    <s v="Accessories"/>
    <n v="989.85"/>
    <n v="4"/>
    <n v="0.26"/>
    <n v="0.26"/>
    <s v="East"/>
    <s v="CUST0016"/>
    <n v="3959.4"/>
  </r>
  <r>
    <n v="741"/>
    <x v="167"/>
    <x v="3"/>
    <s v="Accessories"/>
    <n v="255.8"/>
    <n v="2"/>
    <n v="0.12"/>
    <n v="0.31"/>
    <s v="West"/>
    <s v="CUST0070"/>
    <n v="511.6"/>
  </r>
  <r>
    <n v="742"/>
    <x v="291"/>
    <x v="4"/>
    <s v="Electronics"/>
    <n v="323.32"/>
    <n v="3"/>
    <n v="0.06"/>
    <n v="0.28000000000000003"/>
    <s v="East"/>
    <s v="CUST0215"/>
    <n v="969.96"/>
  </r>
  <r>
    <n v="743"/>
    <x v="298"/>
    <x v="2"/>
    <s v="Accessories"/>
    <n v="1306.24"/>
    <n v="2"/>
    <n v="0.15"/>
    <n v="0.16"/>
    <s v="East"/>
    <s v="CUST0009"/>
    <n v="2612.48"/>
  </r>
  <r>
    <n v="744"/>
    <x v="120"/>
    <x v="3"/>
    <s v="Accessories"/>
    <n v="887.39"/>
    <n v="2"/>
    <n v="0.11"/>
    <n v="0.35"/>
    <s v="West"/>
    <s v="CUST0042"/>
    <n v="1774.78"/>
  </r>
  <r>
    <n v="745"/>
    <x v="62"/>
    <x v="4"/>
    <s v="Electronics"/>
    <n v="1438.78"/>
    <n v="1"/>
    <n v="0.08"/>
    <n v="0.31"/>
    <s v="West"/>
    <s v="CUST0115"/>
    <n v="1438.78"/>
  </r>
  <r>
    <n v="746"/>
    <x v="138"/>
    <x v="2"/>
    <s v="Accessories"/>
    <n v="964.22"/>
    <n v="3"/>
    <n v="0.19"/>
    <n v="0.2"/>
    <s v="East"/>
    <s v="CUST0049"/>
    <n v="2892.66"/>
  </r>
  <r>
    <n v="747"/>
    <x v="306"/>
    <x v="5"/>
    <s v="Electronics"/>
    <n v="1243.23"/>
    <n v="5"/>
    <n v="0.21"/>
    <n v="0.17"/>
    <s v="South"/>
    <s v="CUST0257"/>
    <n v="6216.15"/>
  </r>
  <r>
    <n v="748"/>
    <x v="77"/>
    <x v="2"/>
    <s v="Accessories"/>
    <n v="1240.06"/>
    <n v="2"/>
    <n v="0.2"/>
    <n v="0.34"/>
    <s v="South"/>
    <s v="CUST0182"/>
    <n v="2480.12"/>
  </r>
  <r>
    <n v="749"/>
    <x v="50"/>
    <x v="2"/>
    <s v="Accessories"/>
    <n v="1475.38"/>
    <n v="4"/>
    <n v="0.23"/>
    <n v="0.32"/>
    <s v="West"/>
    <s v="CUST0089"/>
    <n v="5901.52"/>
  </r>
  <r>
    <n v="750"/>
    <x v="68"/>
    <x v="1"/>
    <s v="Accessories"/>
    <n v="662.71"/>
    <n v="1"/>
    <n v="0.14000000000000001"/>
    <n v="0.18"/>
    <s v="South"/>
    <s v="CUST0165"/>
    <n v="662.71"/>
  </r>
  <r>
    <n v="751"/>
    <x v="274"/>
    <x v="5"/>
    <s v="Electronics"/>
    <n v="384.01"/>
    <n v="5"/>
    <n v="0.19"/>
    <n v="0.36"/>
    <s v="North"/>
    <s v="CUST0235"/>
    <n v="1920.05"/>
  </r>
  <r>
    <n v="752"/>
    <x v="43"/>
    <x v="1"/>
    <s v="Accessories"/>
    <n v="501.47"/>
    <n v="3"/>
    <n v="0.15"/>
    <n v="0.32"/>
    <s v="South"/>
    <s v="CUST0084"/>
    <n v="1504.41"/>
  </r>
  <r>
    <n v="753"/>
    <x v="155"/>
    <x v="5"/>
    <s v="Electronics"/>
    <n v="1008.49"/>
    <n v="2"/>
    <n v="0.25"/>
    <n v="0.17"/>
    <s v="West"/>
    <s v="CUST0050"/>
    <n v="2016.98"/>
  </r>
  <r>
    <n v="754"/>
    <x v="158"/>
    <x v="4"/>
    <s v="Electronics"/>
    <n v="1067.5899999999999"/>
    <n v="3"/>
    <n v="0.3"/>
    <n v="0.2"/>
    <s v="West"/>
    <s v="CUST0098"/>
    <n v="3202.7699999999995"/>
  </r>
  <r>
    <n v="755"/>
    <x v="186"/>
    <x v="3"/>
    <s v="Accessories"/>
    <n v="1206.99"/>
    <n v="5"/>
    <n v="0.26"/>
    <n v="0.4"/>
    <s v="North"/>
    <s v="CUST0222"/>
    <n v="6034.95"/>
  </r>
  <r>
    <n v="756"/>
    <x v="23"/>
    <x v="3"/>
    <s v="Accessories"/>
    <n v="867.46"/>
    <n v="5"/>
    <n v="0.1"/>
    <n v="0.39"/>
    <s v="East"/>
    <s v="CUST0169"/>
    <n v="4337.3"/>
  </r>
  <r>
    <n v="757"/>
    <x v="145"/>
    <x v="3"/>
    <s v="Accessories"/>
    <n v="1277.54"/>
    <n v="3"/>
    <n v="0"/>
    <n v="0.12"/>
    <s v="West"/>
    <s v="CUST0299"/>
    <n v="3832.62"/>
  </r>
  <r>
    <n v="758"/>
    <x v="241"/>
    <x v="4"/>
    <s v="Electronics"/>
    <n v="48.22"/>
    <n v="2"/>
    <n v="0.21"/>
    <n v="0.19"/>
    <s v="South"/>
    <s v="CUST0227"/>
    <n v="96.44"/>
  </r>
  <r>
    <n v="759"/>
    <x v="100"/>
    <x v="2"/>
    <s v="Accessories"/>
    <n v="1259.75"/>
    <n v="3"/>
    <n v="0"/>
    <n v="0.38"/>
    <s v="North"/>
    <s v="CUST0070"/>
    <n v="3779.25"/>
  </r>
  <r>
    <n v="760"/>
    <x v="172"/>
    <x v="0"/>
    <s v="Electronics"/>
    <n v="1300.04"/>
    <n v="2"/>
    <n v="0.12"/>
    <n v="0.12"/>
    <s v="South"/>
    <s v="CUST0035"/>
    <n v="2600.08"/>
  </r>
  <r>
    <n v="761"/>
    <x v="44"/>
    <x v="1"/>
    <s v="Accessories"/>
    <n v="1141.18"/>
    <n v="3"/>
    <n v="0.2"/>
    <n v="0.14000000000000001"/>
    <s v="East"/>
    <s v="CUST0201"/>
    <n v="3423.54"/>
  </r>
  <r>
    <n v="762"/>
    <x v="241"/>
    <x v="4"/>
    <s v="Electronics"/>
    <n v="362.59"/>
    <n v="3"/>
    <n v="0.26"/>
    <n v="0.21"/>
    <s v="East"/>
    <s v="CUST0103"/>
    <n v="1087.77"/>
  </r>
  <r>
    <n v="763"/>
    <x v="205"/>
    <x v="4"/>
    <s v="Electronics"/>
    <n v="937.33"/>
    <n v="3"/>
    <n v="0.14000000000000001"/>
    <n v="0.23"/>
    <s v="South"/>
    <s v="CUST0263"/>
    <n v="2811.9900000000002"/>
  </r>
  <r>
    <n v="764"/>
    <x v="90"/>
    <x v="3"/>
    <s v="Accessories"/>
    <n v="983.03"/>
    <n v="1"/>
    <n v="0.14000000000000001"/>
    <n v="0.38"/>
    <s v="West"/>
    <s v="CUST0051"/>
    <n v="983.03"/>
  </r>
  <r>
    <n v="765"/>
    <x v="155"/>
    <x v="0"/>
    <s v="Electronics"/>
    <n v="103.69"/>
    <n v="3"/>
    <n v="0.25"/>
    <n v="0.21"/>
    <s v="East"/>
    <s v="CUST0296"/>
    <n v="311.07"/>
  </r>
  <r>
    <n v="766"/>
    <x v="166"/>
    <x v="5"/>
    <s v="Electronics"/>
    <n v="575.36"/>
    <n v="3"/>
    <n v="0.05"/>
    <n v="0.25"/>
    <s v="South"/>
    <s v="CUST0062"/>
    <n v="1726.08"/>
  </r>
  <r>
    <n v="767"/>
    <x v="286"/>
    <x v="4"/>
    <s v="Electronics"/>
    <n v="1053.28"/>
    <n v="1"/>
    <n v="0.02"/>
    <n v="0.27"/>
    <s v="North"/>
    <s v="CUST0007"/>
    <n v="1053.28"/>
  </r>
  <r>
    <n v="768"/>
    <x v="307"/>
    <x v="2"/>
    <s v="Accessories"/>
    <n v="963.01"/>
    <n v="4"/>
    <n v="0.12"/>
    <n v="0.16"/>
    <s v="East"/>
    <s v="CUST0200"/>
    <n v="3852.04"/>
  </r>
  <r>
    <n v="769"/>
    <x v="308"/>
    <x v="5"/>
    <s v="Electronics"/>
    <n v="880.1"/>
    <n v="1"/>
    <n v="0.25"/>
    <n v="0.15"/>
    <s v="East"/>
    <s v="CUST0004"/>
    <n v="880.1"/>
  </r>
  <r>
    <n v="770"/>
    <x v="227"/>
    <x v="5"/>
    <s v="Electronics"/>
    <n v="61.83"/>
    <n v="3"/>
    <n v="0.21"/>
    <n v="0.35"/>
    <s v="East"/>
    <s v="CUST0286"/>
    <n v="185.49"/>
  </r>
  <r>
    <n v="771"/>
    <x v="119"/>
    <x v="4"/>
    <s v="Electronics"/>
    <n v="1036.4100000000001"/>
    <n v="3"/>
    <n v="0.19"/>
    <n v="0.39"/>
    <s v="South"/>
    <s v="CUST0175"/>
    <n v="3109.2300000000005"/>
  </r>
  <r>
    <n v="772"/>
    <x v="116"/>
    <x v="4"/>
    <s v="Electronics"/>
    <n v="251.69"/>
    <n v="5"/>
    <n v="0.25"/>
    <n v="0.28999999999999998"/>
    <s v="East"/>
    <s v="CUST0281"/>
    <n v="1258.45"/>
  </r>
  <r>
    <n v="773"/>
    <x v="214"/>
    <x v="3"/>
    <s v="Accessories"/>
    <n v="1117.33"/>
    <n v="4"/>
    <n v="0.11"/>
    <n v="0.12"/>
    <s v="West"/>
    <s v="CUST0255"/>
    <n v="4469.32"/>
  </r>
  <r>
    <n v="774"/>
    <x v="231"/>
    <x v="1"/>
    <s v="Accessories"/>
    <n v="123.13"/>
    <n v="2"/>
    <n v="0.03"/>
    <n v="0.28000000000000003"/>
    <s v="East"/>
    <s v="CUST0258"/>
    <n v="246.26"/>
  </r>
  <r>
    <n v="775"/>
    <x v="62"/>
    <x v="5"/>
    <s v="Electronics"/>
    <n v="388.27"/>
    <n v="3"/>
    <n v="0.06"/>
    <n v="0.36"/>
    <s v="East"/>
    <s v="CUST0071"/>
    <n v="1164.81"/>
  </r>
  <r>
    <n v="776"/>
    <x v="201"/>
    <x v="3"/>
    <s v="Accessories"/>
    <n v="1033.0899999999999"/>
    <n v="3"/>
    <n v="0.22"/>
    <n v="0.19"/>
    <s v="East"/>
    <s v="CUST0012"/>
    <n v="3099.2699999999995"/>
  </r>
  <r>
    <n v="777"/>
    <x v="288"/>
    <x v="5"/>
    <s v="Electronics"/>
    <n v="1495.93"/>
    <n v="4"/>
    <n v="0.06"/>
    <n v="0.31"/>
    <s v="West"/>
    <s v="CUST0037"/>
    <n v="5983.72"/>
  </r>
  <r>
    <n v="778"/>
    <x v="309"/>
    <x v="1"/>
    <s v="Accessories"/>
    <n v="1460.74"/>
    <n v="5"/>
    <n v="0.02"/>
    <n v="0.2"/>
    <s v="South"/>
    <s v="CUST0032"/>
    <n v="7303.7"/>
  </r>
  <r>
    <n v="779"/>
    <x v="60"/>
    <x v="1"/>
    <s v="Accessories"/>
    <n v="667.21"/>
    <n v="4"/>
    <n v="0.25"/>
    <n v="0.36"/>
    <s v="West"/>
    <s v="CUST0257"/>
    <n v="2668.84"/>
  </r>
  <r>
    <n v="780"/>
    <x v="51"/>
    <x v="4"/>
    <s v="Electronics"/>
    <n v="476.43"/>
    <n v="3"/>
    <n v="0.24"/>
    <n v="0.22"/>
    <s v="East"/>
    <s v="CUST0104"/>
    <n v="1429.29"/>
  </r>
  <r>
    <n v="781"/>
    <x v="21"/>
    <x v="5"/>
    <s v="Electronics"/>
    <n v="363.31"/>
    <n v="4"/>
    <n v="0.02"/>
    <n v="0.38"/>
    <s v="South"/>
    <s v="CUST0175"/>
    <n v="1453.24"/>
  </r>
  <r>
    <n v="782"/>
    <x v="310"/>
    <x v="4"/>
    <s v="Electronics"/>
    <n v="671.72"/>
    <n v="4"/>
    <n v="0.28999999999999998"/>
    <n v="0.33"/>
    <s v="South"/>
    <s v="CUST0101"/>
    <n v="2686.88"/>
  </r>
  <r>
    <n v="783"/>
    <x v="268"/>
    <x v="3"/>
    <s v="Accessories"/>
    <n v="193.79"/>
    <n v="4"/>
    <n v="0.08"/>
    <n v="0.34"/>
    <s v="West"/>
    <s v="CUST0246"/>
    <n v="775.16"/>
  </r>
  <r>
    <n v="784"/>
    <x v="37"/>
    <x v="3"/>
    <s v="Accessories"/>
    <n v="955.11"/>
    <n v="5"/>
    <n v="7.0000000000000007E-2"/>
    <n v="0.14000000000000001"/>
    <s v="South"/>
    <s v="CUST0137"/>
    <n v="4775.55"/>
  </r>
  <r>
    <n v="785"/>
    <x v="258"/>
    <x v="3"/>
    <s v="Accessories"/>
    <n v="564.25"/>
    <n v="4"/>
    <n v="0.2"/>
    <n v="0.12"/>
    <s v="South"/>
    <s v="CUST0069"/>
    <n v="2257"/>
  </r>
  <r>
    <n v="786"/>
    <x v="15"/>
    <x v="3"/>
    <s v="Accessories"/>
    <n v="275.92"/>
    <n v="4"/>
    <n v="0.04"/>
    <n v="0.2"/>
    <s v="South"/>
    <s v="CUST0111"/>
    <n v="1103.68"/>
  </r>
  <r>
    <n v="787"/>
    <x v="143"/>
    <x v="0"/>
    <s v="Electronics"/>
    <n v="253.51"/>
    <n v="2"/>
    <n v="0.25"/>
    <n v="0.31"/>
    <s v="West"/>
    <s v="CUST0213"/>
    <n v="507.02"/>
  </r>
  <r>
    <n v="788"/>
    <x v="281"/>
    <x v="0"/>
    <s v="Electronics"/>
    <n v="1210.6099999999999"/>
    <n v="5"/>
    <n v="0.14000000000000001"/>
    <n v="0.33"/>
    <s v="North"/>
    <s v="CUST0139"/>
    <n v="6053.0499999999993"/>
  </r>
  <r>
    <n v="789"/>
    <x v="311"/>
    <x v="5"/>
    <s v="Electronics"/>
    <n v="237.52"/>
    <n v="3"/>
    <n v="0"/>
    <n v="0.15"/>
    <s v="South"/>
    <s v="CUST0061"/>
    <n v="712.56000000000006"/>
  </r>
  <r>
    <n v="790"/>
    <x v="312"/>
    <x v="3"/>
    <s v="Accessories"/>
    <n v="146.35"/>
    <n v="2"/>
    <n v="0.25"/>
    <n v="0.12"/>
    <s v="South"/>
    <s v="CUST0290"/>
    <n v="292.7"/>
  </r>
  <r>
    <n v="791"/>
    <x v="61"/>
    <x v="2"/>
    <s v="Accessories"/>
    <n v="561.62"/>
    <n v="5"/>
    <n v="0.1"/>
    <n v="0.26"/>
    <s v="East"/>
    <s v="CUST0258"/>
    <n v="2808.1"/>
  </r>
  <r>
    <n v="792"/>
    <x v="85"/>
    <x v="5"/>
    <s v="Electronics"/>
    <n v="487.97"/>
    <n v="5"/>
    <n v="0.3"/>
    <n v="0.37"/>
    <s v="East"/>
    <s v="CUST0016"/>
    <n v="2439.8500000000004"/>
  </r>
  <r>
    <n v="793"/>
    <x v="204"/>
    <x v="3"/>
    <s v="Accessories"/>
    <n v="48.34"/>
    <n v="5"/>
    <n v="0.15"/>
    <n v="0.32"/>
    <s v="West"/>
    <s v="CUST0191"/>
    <n v="241.70000000000002"/>
  </r>
  <r>
    <n v="794"/>
    <x v="289"/>
    <x v="5"/>
    <s v="Electronics"/>
    <n v="737.69"/>
    <n v="3"/>
    <n v="0.2"/>
    <n v="0.14000000000000001"/>
    <s v="North"/>
    <s v="CUST0066"/>
    <n v="2213.0700000000002"/>
  </r>
  <r>
    <n v="795"/>
    <x v="117"/>
    <x v="3"/>
    <s v="Accessories"/>
    <n v="625.04"/>
    <n v="4"/>
    <n v="0.12"/>
    <n v="0.25"/>
    <s v="West"/>
    <s v="CUST0170"/>
    <n v="2500.16"/>
  </r>
  <r>
    <n v="796"/>
    <x v="223"/>
    <x v="0"/>
    <s v="Electronics"/>
    <n v="1428.38"/>
    <n v="5"/>
    <n v="0.15"/>
    <n v="0.32"/>
    <s v="South"/>
    <s v="CUST0009"/>
    <n v="7141.9000000000005"/>
  </r>
  <r>
    <n v="797"/>
    <x v="305"/>
    <x v="0"/>
    <s v="Electronics"/>
    <n v="747.2"/>
    <n v="4"/>
    <n v="0.28999999999999998"/>
    <n v="0.38"/>
    <s v="West"/>
    <s v="CUST0031"/>
    <n v="2988.8"/>
  </r>
  <r>
    <n v="798"/>
    <x v="6"/>
    <x v="1"/>
    <s v="Accessories"/>
    <n v="1000.96"/>
    <n v="4"/>
    <n v="0.05"/>
    <n v="0.36"/>
    <s v="South"/>
    <s v="CUST0035"/>
    <n v="4003.84"/>
  </r>
  <r>
    <n v="799"/>
    <x v="313"/>
    <x v="5"/>
    <s v="Electronics"/>
    <n v="294.69"/>
    <n v="2"/>
    <n v="0.27"/>
    <n v="0.28000000000000003"/>
    <s v="North"/>
    <s v="CUST0217"/>
    <n v="589.38"/>
  </r>
  <r>
    <n v="800"/>
    <x v="156"/>
    <x v="4"/>
    <s v="Electronics"/>
    <n v="849.18"/>
    <n v="1"/>
    <n v="0.24"/>
    <n v="0.18"/>
    <s v="East"/>
    <s v="CUST0282"/>
    <n v="849.18"/>
  </r>
  <r>
    <n v="801"/>
    <x v="67"/>
    <x v="0"/>
    <s v="Electronics"/>
    <n v="153.35"/>
    <n v="1"/>
    <n v="0.22"/>
    <n v="0.27"/>
    <s v="East"/>
    <s v="CUST0181"/>
    <n v="153.35"/>
  </r>
  <r>
    <n v="802"/>
    <x v="314"/>
    <x v="5"/>
    <s v="Electronics"/>
    <n v="283.31"/>
    <n v="1"/>
    <n v="0.01"/>
    <n v="0.18"/>
    <s v="North"/>
    <s v="CUST0233"/>
    <n v="283.31"/>
  </r>
  <r>
    <n v="803"/>
    <x v="182"/>
    <x v="2"/>
    <s v="Accessories"/>
    <n v="1314.26"/>
    <n v="4"/>
    <n v="0"/>
    <n v="0.36"/>
    <s v="North"/>
    <s v="CUST0138"/>
    <n v="5257.04"/>
  </r>
  <r>
    <n v="804"/>
    <x v="277"/>
    <x v="0"/>
    <s v="Electronics"/>
    <n v="103.93"/>
    <n v="4"/>
    <n v="0.23"/>
    <n v="0.15"/>
    <s v="East"/>
    <s v="CUST0280"/>
    <n v="415.72"/>
  </r>
  <r>
    <n v="805"/>
    <x v="301"/>
    <x v="5"/>
    <s v="Electronics"/>
    <n v="458.57"/>
    <n v="2"/>
    <n v="0.28000000000000003"/>
    <n v="0.38"/>
    <s v="East"/>
    <s v="CUST0200"/>
    <n v="917.14"/>
  </r>
  <r>
    <n v="806"/>
    <x v="315"/>
    <x v="5"/>
    <s v="Electronics"/>
    <n v="331.12"/>
    <n v="2"/>
    <n v="0.24"/>
    <n v="0.28000000000000003"/>
    <s v="North"/>
    <s v="CUST0134"/>
    <n v="662.24"/>
  </r>
  <r>
    <n v="807"/>
    <x v="259"/>
    <x v="0"/>
    <s v="Electronics"/>
    <n v="712.79"/>
    <n v="1"/>
    <n v="0.21"/>
    <n v="0.28000000000000003"/>
    <s v="South"/>
    <s v="CUST0029"/>
    <n v="712.79"/>
  </r>
  <r>
    <n v="808"/>
    <x v="230"/>
    <x v="5"/>
    <s v="Electronics"/>
    <n v="659.23"/>
    <n v="1"/>
    <n v="0.21"/>
    <n v="0.38"/>
    <s v="East"/>
    <s v="CUST0215"/>
    <n v="659.23"/>
  </r>
  <r>
    <n v="809"/>
    <x v="229"/>
    <x v="2"/>
    <s v="Accessories"/>
    <n v="1069.48"/>
    <n v="2"/>
    <n v="0.05"/>
    <n v="0.11"/>
    <s v="West"/>
    <s v="CUST0209"/>
    <n v="2138.96"/>
  </r>
  <r>
    <n v="810"/>
    <x v="162"/>
    <x v="4"/>
    <s v="Electronics"/>
    <n v="92.04"/>
    <n v="1"/>
    <n v="0.15"/>
    <n v="0.28000000000000003"/>
    <s v="West"/>
    <s v="CUST0262"/>
    <n v="92.04"/>
  </r>
  <r>
    <n v="811"/>
    <x v="316"/>
    <x v="5"/>
    <s v="Electronics"/>
    <n v="715.79"/>
    <n v="4"/>
    <n v="0.15"/>
    <n v="0.12"/>
    <s v="East"/>
    <s v="CUST0001"/>
    <n v="2863.16"/>
  </r>
  <r>
    <n v="812"/>
    <x v="102"/>
    <x v="5"/>
    <s v="Electronics"/>
    <n v="435.74"/>
    <n v="1"/>
    <n v="0.13"/>
    <n v="0.35"/>
    <s v="West"/>
    <s v="CUST0195"/>
    <n v="435.74"/>
  </r>
  <r>
    <n v="813"/>
    <x v="189"/>
    <x v="4"/>
    <s v="Electronics"/>
    <n v="1199.1099999999999"/>
    <n v="3"/>
    <n v="0.13"/>
    <n v="0.17"/>
    <s v="North"/>
    <s v="CUST0069"/>
    <n v="3597.33"/>
  </r>
  <r>
    <n v="814"/>
    <x v="191"/>
    <x v="2"/>
    <s v="Accessories"/>
    <n v="711.88"/>
    <n v="5"/>
    <n v="0.03"/>
    <n v="0.28000000000000003"/>
    <s v="South"/>
    <s v="CUST0015"/>
    <n v="3559.4"/>
  </r>
  <r>
    <n v="815"/>
    <x v="297"/>
    <x v="5"/>
    <s v="Electronics"/>
    <n v="1385.49"/>
    <n v="4"/>
    <n v="0.11"/>
    <n v="0.34"/>
    <s v="North"/>
    <s v="CUST0188"/>
    <n v="5541.96"/>
  </r>
  <r>
    <n v="816"/>
    <x v="230"/>
    <x v="1"/>
    <s v="Accessories"/>
    <n v="106.9"/>
    <n v="3"/>
    <n v="0.2"/>
    <n v="0.16"/>
    <s v="West"/>
    <s v="CUST0157"/>
    <n v="320.70000000000005"/>
  </r>
  <r>
    <n v="817"/>
    <x v="215"/>
    <x v="5"/>
    <s v="Electronics"/>
    <n v="1288.33"/>
    <n v="2"/>
    <n v="0.1"/>
    <n v="0.32"/>
    <s v="East"/>
    <s v="CUST0225"/>
    <n v="2576.66"/>
  </r>
  <r>
    <n v="818"/>
    <x v="164"/>
    <x v="4"/>
    <s v="Electronics"/>
    <n v="154.13"/>
    <n v="1"/>
    <n v="7.0000000000000007E-2"/>
    <n v="0.2"/>
    <s v="North"/>
    <s v="CUST0009"/>
    <n v="154.13"/>
  </r>
  <r>
    <n v="819"/>
    <x v="148"/>
    <x v="5"/>
    <s v="Electronics"/>
    <n v="515"/>
    <n v="2"/>
    <n v="0.2"/>
    <n v="0.38"/>
    <s v="West"/>
    <s v="CUST0195"/>
    <n v="1030"/>
  </r>
  <r>
    <n v="820"/>
    <x v="128"/>
    <x v="4"/>
    <s v="Electronics"/>
    <n v="906.01"/>
    <n v="3"/>
    <n v="0.06"/>
    <n v="0.19"/>
    <s v="East"/>
    <s v="CUST0057"/>
    <n v="2718.0299999999997"/>
  </r>
  <r>
    <n v="821"/>
    <x v="149"/>
    <x v="3"/>
    <s v="Accessories"/>
    <n v="1422.06"/>
    <n v="3"/>
    <n v="0.15"/>
    <n v="0.21"/>
    <s v="South"/>
    <s v="CUST0053"/>
    <n v="4266.18"/>
  </r>
  <r>
    <n v="822"/>
    <x v="271"/>
    <x v="4"/>
    <s v="Electronics"/>
    <n v="440.38"/>
    <n v="2"/>
    <n v="0.14000000000000001"/>
    <n v="0.3"/>
    <s v="South"/>
    <s v="CUST0265"/>
    <n v="880.76"/>
  </r>
  <r>
    <n v="823"/>
    <x v="217"/>
    <x v="2"/>
    <s v="Accessories"/>
    <n v="536.66"/>
    <n v="4"/>
    <n v="0.3"/>
    <n v="0.19"/>
    <s v="East"/>
    <s v="CUST0142"/>
    <n v="2146.64"/>
  </r>
  <r>
    <n v="824"/>
    <x v="40"/>
    <x v="1"/>
    <s v="Accessories"/>
    <n v="234.83"/>
    <n v="3"/>
    <n v="0.25"/>
    <n v="0.13"/>
    <s v="East"/>
    <s v="CUST0035"/>
    <n v="704.49"/>
  </r>
  <r>
    <n v="825"/>
    <x v="317"/>
    <x v="2"/>
    <s v="Accessories"/>
    <n v="1255.99"/>
    <n v="4"/>
    <n v="0.06"/>
    <n v="0.21"/>
    <s v="West"/>
    <s v="CUST0107"/>
    <n v="5023.96"/>
  </r>
  <r>
    <n v="826"/>
    <x v="22"/>
    <x v="3"/>
    <s v="Accessories"/>
    <n v="378.98"/>
    <n v="4"/>
    <n v="0.08"/>
    <n v="0.2"/>
    <s v="North"/>
    <s v="CUST0201"/>
    <n v="1515.92"/>
  </r>
  <r>
    <n v="827"/>
    <x v="227"/>
    <x v="0"/>
    <s v="Electronics"/>
    <n v="683.9"/>
    <n v="2"/>
    <n v="0.06"/>
    <n v="0.1"/>
    <s v="North"/>
    <s v="CUST0253"/>
    <n v="1367.8"/>
  </r>
  <r>
    <n v="828"/>
    <x v="150"/>
    <x v="0"/>
    <s v="Electronics"/>
    <n v="1001.32"/>
    <n v="2"/>
    <n v="0.19"/>
    <n v="0.18"/>
    <s v="East"/>
    <s v="CUST0014"/>
    <n v="2002.64"/>
  </r>
  <r>
    <n v="829"/>
    <x v="161"/>
    <x v="1"/>
    <s v="Accessories"/>
    <n v="1358.93"/>
    <n v="5"/>
    <n v="0.03"/>
    <n v="0.38"/>
    <s v="North"/>
    <s v="CUST0096"/>
    <n v="6794.6500000000005"/>
  </r>
  <r>
    <n v="830"/>
    <x v="5"/>
    <x v="3"/>
    <s v="Accessories"/>
    <n v="35.14"/>
    <n v="4"/>
    <n v="0.26"/>
    <n v="0.17"/>
    <s v="West"/>
    <s v="CUST0202"/>
    <n v="140.56"/>
  </r>
  <r>
    <n v="831"/>
    <x v="235"/>
    <x v="3"/>
    <s v="Accessories"/>
    <n v="618.54999999999995"/>
    <n v="2"/>
    <n v="0.27"/>
    <n v="0.37"/>
    <s v="North"/>
    <s v="CUST0031"/>
    <n v="1237.0999999999999"/>
  </r>
  <r>
    <n v="832"/>
    <x v="229"/>
    <x v="1"/>
    <s v="Accessories"/>
    <n v="465.81"/>
    <n v="1"/>
    <n v="0.13"/>
    <n v="0.32"/>
    <s v="West"/>
    <s v="CUST0083"/>
    <n v="465.81"/>
  </r>
  <r>
    <n v="833"/>
    <x v="2"/>
    <x v="3"/>
    <s v="Accessories"/>
    <n v="659.19"/>
    <n v="1"/>
    <n v="0.25"/>
    <n v="0.15"/>
    <s v="West"/>
    <s v="CUST0284"/>
    <n v="659.19"/>
  </r>
  <r>
    <n v="834"/>
    <x v="143"/>
    <x v="2"/>
    <s v="Accessories"/>
    <n v="1031.18"/>
    <n v="2"/>
    <n v="0.09"/>
    <n v="0.28000000000000003"/>
    <s v="West"/>
    <s v="CUST0273"/>
    <n v="2062.36"/>
  </r>
  <r>
    <n v="835"/>
    <x v="275"/>
    <x v="4"/>
    <s v="Electronics"/>
    <n v="957.55"/>
    <n v="1"/>
    <n v="0.12"/>
    <n v="0.21"/>
    <s v="South"/>
    <s v="CUST0186"/>
    <n v="957.55"/>
  </r>
  <r>
    <n v="836"/>
    <x v="89"/>
    <x v="3"/>
    <s v="Accessories"/>
    <n v="532.34"/>
    <n v="4"/>
    <n v="0.17"/>
    <n v="0.13"/>
    <s v="West"/>
    <s v="CUST0055"/>
    <n v="2129.36"/>
  </r>
  <r>
    <n v="837"/>
    <x v="316"/>
    <x v="0"/>
    <s v="Electronics"/>
    <n v="860.74"/>
    <n v="3"/>
    <n v="0.12"/>
    <n v="0.27"/>
    <s v="North"/>
    <s v="CUST0127"/>
    <n v="2582.2200000000003"/>
  </r>
  <r>
    <n v="838"/>
    <x v="22"/>
    <x v="4"/>
    <s v="Electronics"/>
    <n v="40.950000000000003"/>
    <n v="3"/>
    <n v="0.24"/>
    <n v="0.13"/>
    <s v="South"/>
    <s v="CUST0291"/>
    <n v="122.85000000000001"/>
  </r>
  <r>
    <n v="839"/>
    <x v="35"/>
    <x v="4"/>
    <s v="Electronics"/>
    <n v="136.6"/>
    <n v="5"/>
    <n v="0.04"/>
    <n v="0.39"/>
    <s v="North"/>
    <s v="CUST0140"/>
    <n v="683"/>
  </r>
  <r>
    <n v="840"/>
    <x v="223"/>
    <x v="1"/>
    <s v="Accessories"/>
    <n v="358.76"/>
    <n v="3"/>
    <n v="0.18"/>
    <n v="0.32"/>
    <s v="West"/>
    <s v="CUST0040"/>
    <n v="1076.28"/>
  </r>
  <r>
    <n v="841"/>
    <x v="318"/>
    <x v="3"/>
    <s v="Accessories"/>
    <n v="934.99"/>
    <n v="3"/>
    <n v="0.16"/>
    <n v="0.13"/>
    <s v="East"/>
    <s v="CUST0147"/>
    <n v="2804.9700000000003"/>
  </r>
  <r>
    <n v="842"/>
    <x v="291"/>
    <x v="1"/>
    <s v="Accessories"/>
    <n v="1189.5"/>
    <n v="5"/>
    <n v="7.0000000000000007E-2"/>
    <n v="0.23"/>
    <s v="South"/>
    <s v="CUST0209"/>
    <n v="5947.5"/>
  </r>
  <r>
    <n v="843"/>
    <x v="260"/>
    <x v="5"/>
    <s v="Electronics"/>
    <n v="408.01"/>
    <n v="2"/>
    <n v="0.13"/>
    <n v="0.2"/>
    <s v="East"/>
    <s v="CUST0113"/>
    <n v="816.02"/>
  </r>
  <r>
    <n v="844"/>
    <x v="124"/>
    <x v="2"/>
    <s v="Accessories"/>
    <n v="195.66"/>
    <n v="1"/>
    <n v="0.21"/>
    <n v="0.24"/>
    <s v="West"/>
    <s v="CUST0209"/>
    <n v="195.66"/>
  </r>
  <r>
    <n v="845"/>
    <x v="155"/>
    <x v="1"/>
    <s v="Accessories"/>
    <n v="1484.41"/>
    <n v="1"/>
    <n v="0.08"/>
    <n v="0.27"/>
    <s v="South"/>
    <s v="CUST0186"/>
    <n v="1484.41"/>
  </r>
  <r>
    <n v="846"/>
    <x v="226"/>
    <x v="2"/>
    <s v="Accessories"/>
    <n v="1349.17"/>
    <n v="1"/>
    <n v="0.02"/>
    <n v="0.37"/>
    <s v="East"/>
    <s v="CUST0247"/>
    <n v="1349.17"/>
  </r>
  <r>
    <n v="847"/>
    <x v="207"/>
    <x v="5"/>
    <s v="Electronics"/>
    <n v="559.78"/>
    <n v="1"/>
    <n v="0.1"/>
    <n v="0.16"/>
    <s v="East"/>
    <s v="CUST0012"/>
    <n v="559.78"/>
  </r>
  <r>
    <n v="848"/>
    <x v="62"/>
    <x v="4"/>
    <s v="Electronics"/>
    <n v="1256.02"/>
    <n v="5"/>
    <n v="0.25"/>
    <n v="0.17"/>
    <s v="North"/>
    <s v="CUST0117"/>
    <n v="6280.1"/>
  </r>
  <r>
    <n v="849"/>
    <x v="212"/>
    <x v="2"/>
    <s v="Accessories"/>
    <n v="230.91"/>
    <n v="5"/>
    <n v="0.12"/>
    <n v="0.24"/>
    <s v="West"/>
    <s v="CUST0234"/>
    <n v="1154.55"/>
  </r>
  <r>
    <n v="850"/>
    <x v="164"/>
    <x v="2"/>
    <s v="Accessories"/>
    <n v="326.26"/>
    <n v="4"/>
    <n v="0.04"/>
    <n v="0.38"/>
    <s v="East"/>
    <s v="CUST0286"/>
    <n v="1305.04"/>
  </r>
  <r>
    <n v="851"/>
    <x v="319"/>
    <x v="2"/>
    <s v="Accessories"/>
    <n v="645.62"/>
    <n v="2"/>
    <n v="0.01"/>
    <n v="0.24"/>
    <s v="North"/>
    <s v="CUST0103"/>
    <n v="1291.24"/>
  </r>
  <r>
    <n v="852"/>
    <x v="277"/>
    <x v="0"/>
    <s v="Electronics"/>
    <n v="393.41"/>
    <n v="3"/>
    <n v="0.2"/>
    <n v="0.39"/>
    <s v="South"/>
    <s v="CUST0156"/>
    <n v="1180.23"/>
  </r>
  <r>
    <n v="853"/>
    <x v="304"/>
    <x v="5"/>
    <s v="Electronics"/>
    <n v="1393.95"/>
    <n v="5"/>
    <n v="7.0000000000000007E-2"/>
    <n v="0.17"/>
    <s v="North"/>
    <s v="CUST0087"/>
    <n v="6969.75"/>
  </r>
  <r>
    <n v="854"/>
    <x v="1"/>
    <x v="2"/>
    <s v="Accessories"/>
    <n v="1166.02"/>
    <n v="4"/>
    <n v="0.21"/>
    <n v="0.28999999999999998"/>
    <s v="West"/>
    <s v="CUST0085"/>
    <n v="4664.08"/>
  </r>
  <r>
    <n v="855"/>
    <x v="47"/>
    <x v="2"/>
    <s v="Accessories"/>
    <n v="1030"/>
    <n v="2"/>
    <n v="0.25"/>
    <n v="0.34"/>
    <s v="South"/>
    <s v="CUST0126"/>
    <n v="2060"/>
  </r>
  <r>
    <n v="856"/>
    <x v="93"/>
    <x v="5"/>
    <s v="Electronics"/>
    <n v="671.31"/>
    <n v="3"/>
    <n v="0.28999999999999998"/>
    <n v="0.23"/>
    <s v="East"/>
    <s v="CUST0076"/>
    <n v="2013.9299999999998"/>
  </r>
  <r>
    <n v="857"/>
    <x v="62"/>
    <x v="0"/>
    <s v="Electronics"/>
    <n v="634.42999999999995"/>
    <n v="2"/>
    <n v="0.16"/>
    <n v="0.18"/>
    <s v="South"/>
    <s v="CUST0291"/>
    <n v="1268.8599999999999"/>
  </r>
  <r>
    <n v="858"/>
    <x v="39"/>
    <x v="4"/>
    <s v="Electronics"/>
    <n v="449.81"/>
    <n v="3"/>
    <n v="0.01"/>
    <n v="0.37"/>
    <s v="West"/>
    <s v="CUST0086"/>
    <n v="1349.43"/>
  </r>
  <r>
    <n v="859"/>
    <x v="81"/>
    <x v="0"/>
    <s v="Electronics"/>
    <n v="273.10000000000002"/>
    <n v="5"/>
    <n v="0.21"/>
    <n v="0.13"/>
    <s v="West"/>
    <s v="CUST0092"/>
    <n v="1365.5"/>
  </r>
  <r>
    <n v="860"/>
    <x v="154"/>
    <x v="4"/>
    <s v="Electronics"/>
    <n v="766.08"/>
    <n v="3"/>
    <n v="0.08"/>
    <n v="0.19"/>
    <s v="South"/>
    <s v="CUST0285"/>
    <n v="2298.2400000000002"/>
  </r>
  <r>
    <n v="861"/>
    <x v="144"/>
    <x v="0"/>
    <s v="Electronics"/>
    <n v="99.07"/>
    <n v="4"/>
    <n v="0.27"/>
    <n v="0.28999999999999998"/>
    <s v="South"/>
    <s v="CUST0146"/>
    <n v="396.28"/>
  </r>
  <r>
    <n v="862"/>
    <x v="230"/>
    <x v="5"/>
    <s v="Electronics"/>
    <n v="446.41"/>
    <n v="2"/>
    <n v="0.09"/>
    <n v="0.11"/>
    <s v="West"/>
    <s v="CUST0127"/>
    <n v="892.82"/>
  </r>
  <r>
    <n v="863"/>
    <x v="60"/>
    <x v="5"/>
    <s v="Electronics"/>
    <n v="612.39"/>
    <n v="2"/>
    <n v="0.25"/>
    <n v="0.14000000000000001"/>
    <s v="North"/>
    <s v="CUST0247"/>
    <n v="1224.78"/>
  </r>
  <r>
    <n v="864"/>
    <x v="73"/>
    <x v="0"/>
    <s v="Electronics"/>
    <n v="821.94"/>
    <n v="2"/>
    <n v="7.0000000000000007E-2"/>
    <n v="0.13"/>
    <s v="West"/>
    <s v="CUST0295"/>
    <n v="1643.88"/>
  </r>
  <r>
    <n v="865"/>
    <x v="68"/>
    <x v="1"/>
    <s v="Accessories"/>
    <n v="1374.71"/>
    <n v="2"/>
    <n v="0.25"/>
    <n v="0.25"/>
    <s v="East"/>
    <s v="CUST0286"/>
    <n v="2749.42"/>
  </r>
  <r>
    <n v="866"/>
    <x v="153"/>
    <x v="3"/>
    <s v="Accessories"/>
    <n v="429.72"/>
    <n v="2"/>
    <n v="0.17"/>
    <n v="0.2"/>
    <s v="East"/>
    <s v="CUST0074"/>
    <n v="859.44"/>
  </r>
  <r>
    <n v="867"/>
    <x v="320"/>
    <x v="3"/>
    <s v="Accessories"/>
    <n v="1247.02"/>
    <n v="3"/>
    <n v="0.28999999999999998"/>
    <n v="0.39"/>
    <s v="North"/>
    <s v="CUST0011"/>
    <n v="3741.06"/>
  </r>
  <r>
    <n v="868"/>
    <x v="145"/>
    <x v="2"/>
    <s v="Accessories"/>
    <n v="1099.3499999999999"/>
    <n v="5"/>
    <n v="0.26"/>
    <n v="0.35"/>
    <s v="East"/>
    <s v="CUST0058"/>
    <n v="5496.75"/>
  </r>
  <r>
    <n v="869"/>
    <x v="211"/>
    <x v="1"/>
    <s v="Accessories"/>
    <n v="1421.47"/>
    <n v="4"/>
    <n v="0.11"/>
    <n v="0.28999999999999998"/>
    <s v="East"/>
    <s v="CUST0258"/>
    <n v="5685.88"/>
  </r>
  <r>
    <n v="870"/>
    <x v="126"/>
    <x v="3"/>
    <s v="Accessories"/>
    <n v="1175.78"/>
    <n v="1"/>
    <n v="0.18"/>
    <n v="0.3"/>
    <s v="East"/>
    <s v="CUST0166"/>
    <n v="1175.78"/>
  </r>
  <r>
    <n v="871"/>
    <x v="266"/>
    <x v="5"/>
    <s v="Electronics"/>
    <n v="660.7"/>
    <n v="3"/>
    <n v="0.28000000000000003"/>
    <n v="0.15"/>
    <s v="North"/>
    <s v="CUST0090"/>
    <n v="1982.1000000000001"/>
  </r>
  <r>
    <n v="872"/>
    <x v="246"/>
    <x v="3"/>
    <s v="Accessories"/>
    <n v="1333.5"/>
    <n v="5"/>
    <n v="0.09"/>
    <n v="0.26"/>
    <s v="South"/>
    <s v="CUST0129"/>
    <n v="6667.5"/>
  </r>
  <r>
    <n v="873"/>
    <x v="180"/>
    <x v="2"/>
    <s v="Accessories"/>
    <n v="1170.03"/>
    <n v="2"/>
    <n v="0.05"/>
    <n v="0.23"/>
    <s v="West"/>
    <s v="CUST0010"/>
    <n v="2340.06"/>
  </r>
  <r>
    <n v="874"/>
    <x v="52"/>
    <x v="2"/>
    <s v="Accessories"/>
    <n v="1200.8900000000001"/>
    <n v="2"/>
    <n v="0.03"/>
    <n v="0.22"/>
    <s v="East"/>
    <s v="CUST0089"/>
    <n v="2401.7800000000002"/>
  </r>
  <r>
    <n v="875"/>
    <x v="49"/>
    <x v="1"/>
    <s v="Accessories"/>
    <n v="49.47"/>
    <n v="3"/>
    <n v="0.18"/>
    <n v="0.15"/>
    <s v="West"/>
    <s v="CUST0097"/>
    <n v="148.41"/>
  </r>
  <r>
    <n v="876"/>
    <x v="225"/>
    <x v="1"/>
    <s v="Accessories"/>
    <n v="371.62"/>
    <n v="5"/>
    <n v="0.25"/>
    <n v="0.39"/>
    <s v="South"/>
    <s v="CUST0094"/>
    <n v="1858.1"/>
  </r>
  <r>
    <n v="877"/>
    <x v="10"/>
    <x v="0"/>
    <s v="Electronics"/>
    <n v="366.43"/>
    <n v="2"/>
    <n v="0.28000000000000003"/>
    <n v="0.23"/>
    <s v="South"/>
    <s v="CUST0028"/>
    <n v="732.86"/>
  </r>
  <r>
    <n v="878"/>
    <x v="23"/>
    <x v="3"/>
    <s v="Accessories"/>
    <n v="340.2"/>
    <n v="1"/>
    <n v="0"/>
    <n v="0.36"/>
    <s v="South"/>
    <s v="CUST0165"/>
    <n v="340.2"/>
  </r>
  <r>
    <n v="879"/>
    <x v="40"/>
    <x v="0"/>
    <s v="Electronics"/>
    <n v="885.3"/>
    <n v="1"/>
    <n v="0.24"/>
    <n v="0.19"/>
    <s v="South"/>
    <s v="CUST0278"/>
    <n v="885.3"/>
  </r>
  <r>
    <n v="880"/>
    <x v="321"/>
    <x v="3"/>
    <s v="Accessories"/>
    <n v="1054.1300000000001"/>
    <n v="4"/>
    <n v="0.12"/>
    <n v="0.39"/>
    <s v="South"/>
    <s v="CUST0037"/>
    <n v="4216.5200000000004"/>
  </r>
  <r>
    <n v="881"/>
    <x v="220"/>
    <x v="3"/>
    <s v="Accessories"/>
    <n v="116.28"/>
    <n v="3"/>
    <n v="0.21"/>
    <n v="0.18"/>
    <s v="South"/>
    <s v="CUST0034"/>
    <n v="348.84000000000003"/>
  </r>
  <r>
    <n v="882"/>
    <x v="48"/>
    <x v="3"/>
    <s v="Accessories"/>
    <n v="219.65"/>
    <n v="4"/>
    <n v="0.13"/>
    <n v="0.35"/>
    <s v="North"/>
    <s v="CUST0216"/>
    <n v="878.6"/>
  </r>
  <r>
    <n v="883"/>
    <x v="67"/>
    <x v="3"/>
    <s v="Accessories"/>
    <n v="352.13"/>
    <n v="1"/>
    <n v="7.0000000000000007E-2"/>
    <n v="0.35"/>
    <s v="North"/>
    <s v="CUST0142"/>
    <n v="352.13"/>
  </r>
  <r>
    <n v="884"/>
    <x v="64"/>
    <x v="5"/>
    <s v="Electronics"/>
    <n v="157.63"/>
    <n v="4"/>
    <n v="0.14000000000000001"/>
    <n v="0.2"/>
    <s v="North"/>
    <s v="CUST0242"/>
    <n v="630.52"/>
  </r>
  <r>
    <n v="885"/>
    <x v="141"/>
    <x v="4"/>
    <s v="Electronics"/>
    <n v="448.81"/>
    <n v="2"/>
    <n v="0.2"/>
    <n v="0.36"/>
    <s v="West"/>
    <s v="CUST0043"/>
    <n v="897.62"/>
  </r>
  <r>
    <n v="886"/>
    <x v="61"/>
    <x v="1"/>
    <s v="Accessories"/>
    <n v="1098.1099999999999"/>
    <n v="4"/>
    <n v="0.21"/>
    <n v="0.27"/>
    <s v="North"/>
    <s v="CUST0120"/>
    <n v="4392.4399999999996"/>
  </r>
  <r>
    <n v="887"/>
    <x v="85"/>
    <x v="5"/>
    <s v="Electronics"/>
    <n v="332.67"/>
    <n v="5"/>
    <n v="0.23"/>
    <n v="0.15"/>
    <s v="West"/>
    <s v="CUST0052"/>
    <n v="1663.3500000000001"/>
  </r>
  <r>
    <n v="888"/>
    <x v="120"/>
    <x v="5"/>
    <s v="Electronics"/>
    <n v="1107.51"/>
    <n v="4"/>
    <n v="0.12"/>
    <n v="0.14000000000000001"/>
    <s v="West"/>
    <s v="CUST0251"/>
    <n v="4430.04"/>
  </r>
  <r>
    <n v="889"/>
    <x v="292"/>
    <x v="5"/>
    <s v="Electronics"/>
    <n v="108.6"/>
    <n v="4"/>
    <n v="0.18"/>
    <n v="0.2"/>
    <s v="West"/>
    <s v="CUST0174"/>
    <n v="434.4"/>
  </r>
  <r>
    <n v="890"/>
    <x v="280"/>
    <x v="2"/>
    <s v="Accessories"/>
    <n v="310.32"/>
    <n v="5"/>
    <n v="0.1"/>
    <n v="0.2"/>
    <s v="West"/>
    <s v="CUST0069"/>
    <n v="1551.6"/>
  </r>
  <r>
    <n v="891"/>
    <x v="108"/>
    <x v="4"/>
    <s v="Electronics"/>
    <n v="364.24"/>
    <n v="3"/>
    <n v="0.19"/>
    <n v="0.36"/>
    <s v="South"/>
    <s v="CUST0014"/>
    <n v="1092.72"/>
  </r>
  <r>
    <n v="892"/>
    <x v="19"/>
    <x v="5"/>
    <s v="Electronics"/>
    <n v="1243.45"/>
    <n v="1"/>
    <n v="0.16"/>
    <n v="0.13"/>
    <s v="North"/>
    <s v="CUST0277"/>
    <n v="1243.45"/>
  </r>
  <r>
    <n v="893"/>
    <x v="125"/>
    <x v="5"/>
    <s v="Electronics"/>
    <n v="255.57"/>
    <n v="3"/>
    <n v="0.11"/>
    <n v="0.3"/>
    <s v="North"/>
    <s v="CUST0197"/>
    <n v="766.71"/>
  </r>
  <r>
    <n v="894"/>
    <x v="296"/>
    <x v="1"/>
    <s v="Accessories"/>
    <n v="144.81"/>
    <n v="2"/>
    <n v="0.13"/>
    <n v="0.25"/>
    <s v="North"/>
    <s v="CUST0170"/>
    <n v="289.62"/>
  </r>
  <r>
    <n v="895"/>
    <x v="322"/>
    <x v="1"/>
    <s v="Accessories"/>
    <n v="1466.49"/>
    <n v="3"/>
    <n v="0.17"/>
    <n v="0.36"/>
    <s v="West"/>
    <s v="CUST0190"/>
    <n v="4399.47"/>
  </r>
  <r>
    <n v="896"/>
    <x v="151"/>
    <x v="3"/>
    <s v="Accessories"/>
    <n v="1478.13"/>
    <n v="2"/>
    <n v="0.13"/>
    <n v="0.23"/>
    <s v="East"/>
    <s v="CUST0185"/>
    <n v="2956.26"/>
  </r>
  <r>
    <n v="897"/>
    <x v="212"/>
    <x v="1"/>
    <s v="Accessories"/>
    <n v="512.16999999999996"/>
    <n v="1"/>
    <n v="0.15"/>
    <n v="0.28999999999999998"/>
    <s v="West"/>
    <s v="CUST0150"/>
    <n v="512.16999999999996"/>
  </r>
  <r>
    <n v="898"/>
    <x v="82"/>
    <x v="4"/>
    <s v="Electronics"/>
    <n v="658.69"/>
    <n v="1"/>
    <n v="0.04"/>
    <n v="0.13"/>
    <s v="West"/>
    <s v="CUST0236"/>
    <n v="658.69"/>
  </r>
  <r>
    <n v="899"/>
    <x v="86"/>
    <x v="5"/>
    <s v="Electronics"/>
    <n v="48.9"/>
    <n v="2"/>
    <n v="0.08"/>
    <n v="0.24"/>
    <s v="West"/>
    <s v="CUST0198"/>
    <n v="97.8"/>
  </r>
  <r>
    <n v="900"/>
    <x v="61"/>
    <x v="3"/>
    <s v="Accessories"/>
    <n v="312.64"/>
    <n v="4"/>
    <n v="0.23"/>
    <n v="0.34"/>
    <s v="South"/>
    <s v="CUST0063"/>
    <n v="1250.56"/>
  </r>
  <r>
    <n v="901"/>
    <x v="54"/>
    <x v="2"/>
    <s v="Accessories"/>
    <n v="1301.7"/>
    <n v="4"/>
    <n v="0.02"/>
    <n v="0.19"/>
    <s v="East"/>
    <s v="CUST0293"/>
    <n v="5206.8"/>
  </r>
  <r>
    <n v="902"/>
    <x v="26"/>
    <x v="1"/>
    <s v="Accessories"/>
    <n v="1018.91"/>
    <n v="5"/>
    <n v="0.04"/>
    <n v="0.15"/>
    <s v="South"/>
    <s v="CUST0277"/>
    <n v="5094.55"/>
  </r>
  <r>
    <n v="903"/>
    <x v="155"/>
    <x v="2"/>
    <s v="Accessories"/>
    <n v="901.51"/>
    <n v="2"/>
    <n v="0.23"/>
    <n v="0.1"/>
    <s v="North"/>
    <s v="CUST0256"/>
    <n v="1803.02"/>
  </r>
  <r>
    <n v="904"/>
    <x v="323"/>
    <x v="3"/>
    <s v="Accessories"/>
    <n v="657.87"/>
    <n v="4"/>
    <n v="0.23"/>
    <n v="0.17"/>
    <s v="East"/>
    <s v="CUST0114"/>
    <n v="2631.48"/>
  </r>
  <r>
    <n v="905"/>
    <x v="88"/>
    <x v="2"/>
    <s v="Accessories"/>
    <n v="369.17"/>
    <n v="5"/>
    <n v="0.2"/>
    <n v="0.3"/>
    <s v="West"/>
    <s v="CUST0251"/>
    <n v="1845.8500000000001"/>
  </r>
  <r>
    <n v="906"/>
    <x v="275"/>
    <x v="4"/>
    <s v="Electronics"/>
    <n v="113.42"/>
    <n v="5"/>
    <n v="0.18"/>
    <n v="0.35"/>
    <s v="North"/>
    <s v="CUST0026"/>
    <n v="567.1"/>
  </r>
  <r>
    <n v="907"/>
    <x v="165"/>
    <x v="3"/>
    <s v="Accessories"/>
    <n v="192.33"/>
    <n v="2"/>
    <n v="0.06"/>
    <n v="0.28000000000000003"/>
    <s v="East"/>
    <s v="CUST0012"/>
    <n v="384.66"/>
  </r>
  <r>
    <n v="908"/>
    <x v="188"/>
    <x v="3"/>
    <s v="Accessories"/>
    <n v="514.66"/>
    <n v="4"/>
    <n v="0.01"/>
    <n v="0.28999999999999998"/>
    <s v="East"/>
    <s v="CUST0278"/>
    <n v="2058.64"/>
  </r>
  <r>
    <n v="909"/>
    <x v="93"/>
    <x v="3"/>
    <s v="Accessories"/>
    <n v="1266.97"/>
    <n v="4"/>
    <n v="0.23"/>
    <n v="0.3"/>
    <s v="South"/>
    <s v="CUST0163"/>
    <n v="5067.88"/>
  </r>
  <r>
    <n v="910"/>
    <x v="151"/>
    <x v="5"/>
    <s v="Electronics"/>
    <n v="282.60000000000002"/>
    <n v="3"/>
    <n v="0.19"/>
    <n v="0.34"/>
    <s v="East"/>
    <s v="CUST0217"/>
    <n v="847.80000000000007"/>
  </r>
  <r>
    <n v="911"/>
    <x v="173"/>
    <x v="1"/>
    <s v="Accessories"/>
    <n v="99.36"/>
    <n v="4"/>
    <n v="0.18"/>
    <n v="0.15"/>
    <s v="West"/>
    <s v="CUST0078"/>
    <n v="397.44"/>
  </r>
  <r>
    <n v="912"/>
    <x v="183"/>
    <x v="4"/>
    <s v="Electronics"/>
    <n v="762.91"/>
    <n v="2"/>
    <n v="0.16"/>
    <n v="0.35"/>
    <s v="South"/>
    <s v="CUST0112"/>
    <n v="1525.82"/>
  </r>
  <r>
    <n v="913"/>
    <x v="55"/>
    <x v="0"/>
    <s v="Electronics"/>
    <n v="527.91"/>
    <n v="2"/>
    <n v="0.12"/>
    <n v="0.14000000000000001"/>
    <s v="West"/>
    <s v="CUST0063"/>
    <n v="1055.82"/>
  </r>
  <r>
    <n v="914"/>
    <x v="93"/>
    <x v="3"/>
    <s v="Accessories"/>
    <n v="1487.39"/>
    <n v="5"/>
    <n v="0.27"/>
    <n v="0.34"/>
    <s v="South"/>
    <s v="CUST0138"/>
    <n v="7436.9500000000007"/>
  </r>
  <r>
    <n v="915"/>
    <x v="23"/>
    <x v="2"/>
    <s v="Accessories"/>
    <n v="931.37"/>
    <n v="3"/>
    <n v="0.08"/>
    <n v="0.33"/>
    <s v="North"/>
    <s v="CUST0241"/>
    <n v="2794.11"/>
  </r>
  <r>
    <n v="916"/>
    <x v="293"/>
    <x v="1"/>
    <s v="Accessories"/>
    <n v="1388.32"/>
    <n v="5"/>
    <n v="0.19"/>
    <n v="0.28000000000000003"/>
    <s v="West"/>
    <s v="CUST0038"/>
    <n v="6941.5999999999995"/>
  </r>
  <r>
    <n v="917"/>
    <x v="216"/>
    <x v="3"/>
    <s v="Accessories"/>
    <n v="1099.95"/>
    <n v="1"/>
    <n v="0.2"/>
    <n v="0.27"/>
    <s v="West"/>
    <s v="CUST0280"/>
    <n v="1099.95"/>
  </r>
  <r>
    <n v="918"/>
    <x v="284"/>
    <x v="1"/>
    <s v="Accessories"/>
    <n v="211.25"/>
    <n v="4"/>
    <n v="0.28000000000000003"/>
    <n v="0.24"/>
    <s v="East"/>
    <s v="CUST0187"/>
    <n v="845"/>
  </r>
  <r>
    <n v="919"/>
    <x v="156"/>
    <x v="4"/>
    <s v="Electronics"/>
    <n v="983.44"/>
    <n v="5"/>
    <n v="0.27"/>
    <n v="0.28999999999999998"/>
    <s v="West"/>
    <s v="CUST0055"/>
    <n v="4917.2000000000007"/>
  </r>
  <r>
    <n v="920"/>
    <x v="277"/>
    <x v="3"/>
    <s v="Accessories"/>
    <n v="1175.24"/>
    <n v="3"/>
    <n v="0"/>
    <n v="0.31"/>
    <s v="West"/>
    <s v="CUST0232"/>
    <n v="3525.7200000000003"/>
  </r>
  <r>
    <n v="921"/>
    <x v="162"/>
    <x v="2"/>
    <s v="Accessories"/>
    <n v="842.68"/>
    <n v="5"/>
    <n v="0.28999999999999998"/>
    <n v="0.27"/>
    <s v="East"/>
    <s v="CUST0287"/>
    <n v="4213.3999999999996"/>
  </r>
  <r>
    <n v="922"/>
    <x v="67"/>
    <x v="5"/>
    <s v="Electronics"/>
    <n v="840.84"/>
    <n v="1"/>
    <n v="0.12"/>
    <n v="0.3"/>
    <s v="West"/>
    <s v="CUST0166"/>
    <n v="840.84"/>
  </r>
  <r>
    <n v="923"/>
    <x v="311"/>
    <x v="3"/>
    <s v="Accessories"/>
    <n v="598.37"/>
    <n v="1"/>
    <n v="0.12"/>
    <n v="0.24"/>
    <s v="East"/>
    <s v="CUST0266"/>
    <n v="598.37"/>
  </r>
  <r>
    <n v="924"/>
    <x v="49"/>
    <x v="0"/>
    <s v="Electronics"/>
    <n v="144.53"/>
    <n v="3"/>
    <n v="0.16"/>
    <n v="0.36"/>
    <s v="East"/>
    <s v="CUST0183"/>
    <n v="433.59000000000003"/>
  </r>
  <r>
    <n v="925"/>
    <x v="118"/>
    <x v="1"/>
    <s v="Accessories"/>
    <n v="1339.69"/>
    <n v="3"/>
    <n v="0.24"/>
    <n v="0.2"/>
    <s v="West"/>
    <s v="CUST0263"/>
    <n v="4019.07"/>
  </r>
  <r>
    <n v="926"/>
    <x v="172"/>
    <x v="3"/>
    <s v="Accessories"/>
    <n v="494.5"/>
    <n v="2"/>
    <n v="0.2"/>
    <n v="0.3"/>
    <s v="West"/>
    <s v="CUST0062"/>
    <n v="989"/>
  </r>
  <r>
    <n v="927"/>
    <x v="147"/>
    <x v="0"/>
    <s v="Electronics"/>
    <n v="1049.6099999999999"/>
    <n v="1"/>
    <n v="0.19"/>
    <n v="0.14000000000000001"/>
    <s v="West"/>
    <s v="CUST0119"/>
    <n v="1049.6099999999999"/>
  </r>
  <r>
    <n v="928"/>
    <x v="176"/>
    <x v="5"/>
    <s v="Electronics"/>
    <n v="1047.8"/>
    <n v="5"/>
    <n v="0.08"/>
    <n v="0.34"/>
    <s v="East"/>
    <s v="CUST0055"/>
    <n v="5239"/>
  </r>
  <r>
    <n v="929"/>
    <x v="223"/>
    <x v="1"/>
    <s v="Accessories"/>
    <n v="762.44"/>
    <n v="3"/>
    <n v="0.19"/>
    <n v="0.16"/>
    <s v="East"/>
    <s v="CUST0139"/>
    <n v="2287.3200000000002"/>
  </r>
  <r>
    <n v="930"/>
    <x v="57"/>
    <x v="4"/>
    <s v="Electronics"/>
    <n v="1157.06"/>
    <n v="4"/>
    <n v="0.13"/>
    <n v="0.28999999999999998"/>
    <s v="East"/>
    <s v="CUST0105"/>
    <n v="4628.24"/>
  </r>
  <r>
    <n v="931"/>
    <x v="324"/>
    <x v="4"/>
    <s v="Electronics"/>
    <n v="368"/>
    <n v="4"/>
    <n v="0.17"/>
    <n v="0.26"/>
    <s v="North"/>
    <s v="CUST0047"/>
    <n v="1472"/>
  </r>
  <r>
    <n v="932"/>
    <x v="150"/>
    <x v="3"/>
    <s v="Accessories"/>
    <n v="730.77"/>
    <n v="3"/>
    <n v="0.08"/>
    <n v="0.33"/>
    <s v="West"/>
    <s v="CUST0103"/>
    <n v="2192.31"/>
  </r>
  <r>
    <n v="933"/>
    <x v="196"/>
    <x v="4"/>
    <s v="Electronics"/>
    <n v="1252.82"/>
    <n v="3"/>
    <n v="0.18"/>
    <n v="0.26"/>
    <s v="East"/>
    <s v="CUST0243"/>
    <n v="3758.46"/>
  </r>
  <r>
    <n v="934"/>
    <x v="83"/>
    <x v="0"/>
    <s v="Electronics"/>
    <n v="965.72"/>
    <n v="3"/>
    <n v="0.28000000000000003"/>
    <n v="0.26"/>
    <s v="East"/>
    <s v="CUST0080"/>
    <n v="2897.16"/>
  </r>
  <r>
    <n v="935"/>
    <x v="232"/>
    <x v="3"/>
    <s v="Accessories"/>
    <n v="1041.73"/>
    <n v="4"/>
    <n v="0.09"/>
    <n v="0.28000000000000003"/>
    <s v="West"/>
    <s v="CUST0104"/>
    <n v="4166.92"/>
  </r>
  <r>
    <n v="936"/>
    <x v="220"/>
    <x v="4"/>
    <s v="Electronics"/>
    <n v="1466.12"/>
    <n v="3"/>
    <n v="0.04"/>
    <n v="0.37"/>
    <s v="North"/>
    <s v="CUST0266"/>
    <n v="4398.3599999999997"/>
  </r>
  <r>
    <n v="937"/>
    <x v="92"/>
    <x v="3"/>
    <s v="Accessories"/>
    <n v="970.42"/>
    <n v="5"/>
    <n v="0.3"/>
    <n v="0.31"/>
    <s v="West"/>
    <s v="CUST0059"/>
    <n v="4852.0999999999995"/>
  </r>
  <r>
    <n v="938"/>
    <x v="132"/>
    <x v="1"/>
    <s v="Accessories"/>
    <n v="845.79"/>
    <n v="3"/>
    <n v="0.28000000000000003"/>
    <n v="0.26"/>
    <s v="South"/>
    <s v="CUST0282"/>
    <n v="2537.37"/>
  </r>
  <r>
    <n v="939"/>
    <x v="10"/>
    <x v="4"/>
    <s v="Electronics"/>
    <n v="490.77"/>
    <n v="1"/>
    <n v="0.28999999999999998"/>
    <n v="0.35"/>
    <s v="North"/>
    <s v="CUST0084"/>
    <n v="490.77"/>
  </r>
  <r>
    <n v="940"/>
    <x v="113"/>
    <x v="1"/>
    <s v="Accessories"/>
    <n v="513.74"/>
    <n v="4"/>
    <n v="0.12"/>
    <n v="0.33"/>
    <s v="North"/>
    <s v="CUST0085"/>
    <n v="2054.96"/>
  </r>
  <r>
    <n v="941"/>
    <x v="237"/>
    <x v="3"/>
    <s v="Accessories"/>
    <n v="633.11"/>
    <n v="1"/>
    <n v="0.08"/>
    <n v="0.14000000000000001"/>
    <s v="West"/>
    <s v="CUST0031"/>
    <n v="633.11"/>
  </r>
  <r>
    <n v="942"/>
    <x v="325"/>
    <x v="5"/>
    <s v="Electronics"/>
    <n v="880.1"/>
    <n v="1"/>
    <n v="0.11"/>
    <n v="0.12"/>
    <s v="North"/>
    <s v="CUST0019"/>
    <n v="880.1"/>
  </r>
  <r>
    <n v="943"/>
    <x v="226"/>
    <x v="4"/>
    <s v="Electronics"/>
    <n v="771.25"/>
    <n v="3"/>
    <n v="0.2"/>
    <n v="0.4"/>
    <s v="South"/>
    <s v="CUST0111"/>
    <n v="2313.75"/>
  </r>
  <r>
    <n v="944"/>
    <x v="75"/>
    <x v="0"/>
    <s v="Electronics"/>
    <n v="193.36"/>
    <n v="4"/>
    <n v="0.12"/>
    <n v="0.13"/>
    <s v="North"/>
    <s v="CUST0212"/>
    <n v="773.44"/>
  </r>
  <r>
    <n v="945"/>
    <x v="259"/>
    <x v="4"/>
    <s v="Electronics"/>
    <n v="636.87"/>
    <n v="2"/>
    <n v="0.18"/>
    <n v="0.28000000000000003"/>
    <s v="North"/>
    <s v="CUST0142"/>
    <n v="1273.74"/>
  </r>
  <r>
    <n v="946"/>
    <x v="146"/>
    <x v="5"/>
    <s v="Electronics"/>
    <n v="981.14"/>
    <n v="1"/>
    <n v="0.28000000000000003"/>
    <n v="0.28999999999999998"/>
    <s v="East"/>
    <s v="CUST0011"/>
    <n v="981.14"/>
  </r>
  <r>
    <n v="947"/>
    <x v="54"/>
    <x v="3"/>
    <s v="Accessories"/>
    <n v="316.52"/>
    <n v="2"/>
    <n v="0.14000000000000001"/>
    <n v="0.28000000000000003"/>
    <s v="East"/>
    <s v="CUST0134"/>
    <n v="633.04"/>
  </r>
  <r>
    <n v="948"/>
    <x v="223"/>
    <x v="3"/>
    <s v="Accessories"/>
    <n v="617.16"/>
    <n v="4"/>
    <n v="0.09"/>
    <n v="0.15"/>
    <s v="West"/>
    <s v="CUST0108"/>
    <n v="2468.64"/>
  </r>
  <r>
    <n v="949"/>
    <x v="175"/>
    <x v="1"/>
    <s v="Accessories"/>
    <n v="264.92"/>
    <n v="1"/>
    <n v="0.19"/>
    <n v="0.31"/>
    <s v="West"/>
    <s v="CUST0182"/>
    <n v="264.92"/>
  </r>
  <r>
    <n v="950"/>
    <x v="72"/>
    <x v="3"/>
    <s v="Accessories"/>
    <n v="839.74"/>
    <n v="2"/>
    <n v="0.26"/>
    <n v="0.27"/>
    <s v="West"/>
    <s v="CUST0254"/>
    <n v="1679.48"/>
  </r>
  <r>
    <n v="951"/>
    <x v="26"/>
    <x v="2"/>
    <s v="Accessories"/>
    <n v="400.04"/>
    <n v="4"/>
    <n v="0.16"/>
    <n v="0.12"/>
    <s v="North"/>
    <s v="CUST0191"/>
    <n v="1600.16"/>
  </r>
  <r>
    <n v="952"/>
    <x v="167"/>
    <x v="5"/>
    <s v="Electronics"/>
    <n v="899.34"/>
    <n v="1"/>
    <n v="0.12"/>
    <n v="0.19"/>
    <s v="North"/>
    <s v="CUST0117"/>
    <n v="899.34"/>
  </r>
  <r>
    <n v="953"/>
    <x v="48"/>
    <x v="0"/>
    <s v="Electronics"/>
    <n v="848.57"/>
    <n v="3"/>
    <n v="0.13"/>
    <n v="0.28000000000000003"/>
    <s v="South"/>
    <s v="CUST0262"/>
    <n v="2545.71"/>
  </r>
  <r>
    <n v="954"/>
    <x v="246"/>
    <x v="2"/>
    <s v="Accessories"/>
    <n v="797.4"/>
    <n v="2"/>
    <n v="0.14000000000000001"/>
    <n v="0.25"/>
    <s v="West"/>
    <s v="CUST0012"/>
    <n v="1594.8"/>
  </r>
  <r>
    <n v="955"/>
    <x v="326"/>
    <x v="2"/>
    <s v="Accessories"/>
    <n v="143.28"/>
    <n v="3"/>
    <n v="0.24"/>
    <n v="0.37"/>
    <s v="North"/>
    <s v="CUST0284"/>
    <n v="429.84000000000003"/>
  </r>
  <r>
    <n v="956"/>
    <x v="39"/>
    <x v="3"/>
    <s v="Accessories"/>
    <n v="1180.6199999999999"/>
    <n v="5"/>
    <n v="0.06"/>
    <n v="0.3"/>
    <s v="East"/>
    <s v="CUST0012"/>
    <n v="5903.0999999999995"/>
  </r>
  <r>
    <n v="957"/>
    <x v="42"/>
    <x v="0"/>
    <s v="Electronics"/>
    <n v="1457.14"/>
    <n v="5"/>
    <n v="0.12"/>
    <n v="0.28000000000000003"/>
    <s v="West"/>
    <s v="CUST0231"/>
    <n v="7285.7000000000007"/>
  </r>
  <r>
    <n v="958"/>
    <x v="246"/>
    <x v="5"/>
    <s v="Electronics"/>
    <n v="623"/>
    <n v="5"/>
    <n v="0.13"/>
    <n v="0.4"/>
    <s v="North"/>
    <s v="CUST0109"/>
    <n v="3115"/>
  </r>
  <r>
    <n v="959"/>
    <x v="60"/>
    <x v="2"/>
    <s v="Accessories"/>
    <n v="1016.57"/>
    <n v="1"/>
    <n v="0.04"/>
    <n v="0.34"/>
    <s v="East"/>
    <s v="CUST0103"/>
    <n v="1016.57"/>
  </r>
  <r>
    <n v="960"/>
    <x v="172"/>
    <x v="5"/>
    <s v="Electronics"/>
    <n v="57.55"/>
    <n v="1"/>
    <n v="0.26"/>
    <n v="0.1"/>
    <s v="West"/>
    <s v="CUST0107"/>
    <n v="57.55"/>
  </r>
  <r>
    <n v="961"/>
    <x v="163"/>
    <x v="0"/>
    <s v="Electronics"/>
    <n v="438.49"/>
    <n v="5"/>
    <n v="0.13"/>
    <n v="0.28999999999999998"/>
    <s v="East"/>
    <s v="CUST0291"/>
    <n v="2192.4499999999998"/>
  </r>
  <r>
    <n v="962"/>
    <x v="79"/>
    <x v="4"/>
    <s v="Electronics"/>
    <n v="105.48"/>
    <n v="3"/>
    <n v="0.06"/>
    <n v="0.24"/>
    <s v="West"/>
    <s v="CUST0147"/>
    <n v="316.44"/>
  </r>
  <r>
    <n v="963"/>
    <x v="146"/>
    <x v="0"/>
    <s v="Electronics"/>
    <n v="677.8"/>
    <n v="3"/>
    <n v="0.06"/>
    <n v="0.23"/>
    <s v="East"/>
    <s v="CUST0118"/>
    <n v="2033.3999999999999"/>
  </r>
  <r>
    <n v="964"/>
    <x v="163"/>
    <x v="2"/>
    <s v="Accessories"/>
    <n v="415.1"/>
    <n v="2"/>
    <n v="0.24"/>
    <n v="0.27"/>
    <s v="West"/>
    <s v="CUST0024"/>
    <n v="830.2"/>
  </r>
  <r>
    <n v="965"/>
    <x v="327"/>
    <x v="1"/>
    <s v="Accessories"/>
    <n v="1404.68"/>
    <n v="2"/>
    <n v="0.24"/>
    <n v="0.28000000000000003"/>
    <s v="East"/>
    <s v="CUST0038"/>
    <n v="2809.36"/>
  </r>
  <r>
    <n v="966"/>
    <x v="328"/>
    <x v="2"/>
    <s v="Accessories"/>
    <n v="389.91"/>
    <n v="4"/>
    <n v="0.12"/>
    <n v="0.1"/>
    <s v="East"/>
    <s v="CUST0010"/>
    <n v="1559.64"/>
  </r>
  <r>
    <n v="967"/>
    <x v="71"/>
    <x v="4"/>
    <s v="Electronics"/>
    <n v="56.01"/>
    <n v="5"/>
    <n v="0.18"/>
    <n v="0.33"/>
    <s v="West"/>
    <s v="CUST0286"/>
    <n v="280.05"/>
  </r>
  <r>
    <n v="968"/>
    <x v="322"/>
    <x v="2"/>
    <s v="Accessories"/>
    <n v="825.92"/>
    <n v="2"/>
    <n v="0.02"/>
    <n v="0.23"/>
    <s v="North"/>
    <s v="CUST0118"/>
    <n v="1651.84"/>
  </r>
  <r>
    <n v="969"/>
    <x v="118"/>
    <x v="5"/>
    <s v="Electronics"/>
    <n v="1119.8800000000001"/>
    <n v="5"/>
    <n v="0.12"/>
    <n v="0.12"/>
    <s v="North"/>
    <s v="CUST0049"/>
    <n v="5599.4000000000005"/>
  </r>
  <r>
    <n v="970"/>
    <x v="113"/>
    <x v="5"/>
    <s v="Electronics"/>
    <n v="1285.8399999999999"/>
    <n v="5"/>
    <n v="0.14000000000000001"/>
    <n v="0.21"/>
    <s v="North"/>
    <s v="CUST0168"/>
    <n v="6429.2"/>
  </r>
  <r>
    <n v="971"/>
    <x v="81"/>
    <x v="2"/>
    <s v="Accessories"/>
    <n v="239.36"/>
    <n v="4"/>
    <n v="0"/>
    <n v="0.11"/>
    <s v="South"/>
    <s v="CUST0262"/>
    <n v="957.44"/>
  </r>
  <r>
    <n v="972"/>
    <x v="129"/>
    <x v="3"/>
    <s v="Accessories"/>
    <n v="871.45"/>
    <n v="5"/>
    <n v="0.3"/>
    <n v="0.16"/>
    <s v="West"/>
    <s v="CUST0061"/>
    <n v="4357.25"/>
  </r>
  <r>
    <n v="973"/>
    <x v="188"/>
    <x v="3"/>
    <s v="Accessories"/>
    <n v="1440.69"/>
    <n v="1"/>
    <n v="0.28000000000000003"/>
    <n v="0.33"/>
    <s v="West"/>
    <s v="CUST0218"/>
    <n v="1440.69"/>
  </r>
  <r>
    <n v="974"/>
    <x v="226"/>
    <x v="3"/>
    <s v="Accessories"/>
    <n v="298.27999999999997"/>
    <n v="1"/>
    <n v="0.19"/>
    <n v="0.11"/>
    <s v="West"/>
    <s v="CUST0111"/>
    <n v="298.27999999999997"/>
  </r>
  <r>
    <n v="975"/>
    <x v="223"/>
    <x v="0"/>
    <s v="Electronics"/>
    <n v="1267.19"/>
    <n v="1"/>
    <n v="0.02"/>
    <n v="0.15"/>
    <s v="West"/>
    <s v="CUST0005"/>
    <n v="1267.19"/>
  </r>
  <r>
    <n v="976"/>
    <x v="24"/>
    <x v="4"/>
    <s v="Electronics"/>
    <n v="206.84"/>
    <n v="1"/>
    <n v="0.05"/>
    <n v="0.12"/>
    <s v="West"/>
    <s v="CUST0239"/>
    <n v="206.84"/>
  </r>
  <r>
    <n v="977"/>
    <x v="111"/>
    <x v="1"/>
    <s v="Accessories"/>
    <n v="1034.3599999999999"/>
    <n v="3"/>
    <n v="0.01"/>
    <n v="0.38"/>
    <s v="West"/>
    <s v="CUST0103"/>
    <n v="3103.08"/>
  </r>
  <r>
    <n v="978"/>
    <x v="329"/>
    <x v="0"/>
    <s v="Electronics"/>
    <n v="843.23"/>
    <n v="2"/>
    <n v="0.2"/>
    <n v="0.15"/>
    <s v="North"/>
    <s v="CUST0219"/>
    <n v="1686.46"/>
  </r>
  <r>
    <n v="979"/>
    <x v="65"/>
    <x v="4"/>
    <s v="Electronics"/>
    <n v="971.68"/>
    <n v="3"/>
    <n v="0.23"/>
    <n v="0.22"/>
    <s v="West"/>
    <s v="CUST0114"/>
    <n v="2915.04"/>
  </r>
  <r>
    <n v="980"/>
    <x v="303"/>
    <x v="4"/>
    <s v="Electronics"/>
    <n v="519.66999999999996"/>
    <n v="1"/>
    <n v="0.03"/>
    <n v="0.39"/>
    <s v="East"/>
    <s v="CUST0255"/>
    <n v="519.66999999999996"/>
  </r>
  <r>
    <n v="981"/>
    <x v="227"/>
    <x v="1"/>
    <s v="Accessories"/>
    <n v="1099.77"/>
    <n v="5"/>
    <n v="7.0000000000000007E-2"/>
    <n v="0.13"/>
    <s v="East"/>
    <s v="CUST0020"/>
    <n v="5498.85"/>
  </r>
  <r>
    <n v="982"/>
    <x v="5"/>
    <x v="1"/>
    <s v="Accessories"/>
    <n v="935.86"/>
    <n v="2"/>
    <n v="0.2"/>
    <n v="0.26"/>
    <s v="North"/>
    <s v="CUST0287"/>
    <n v="1871.72"/>
  </r>
  <r>
    <n v="983"/>
    <x v="267"/>
    <x v="1"/>
    <s v="Accessories"/>
    <n v="1385.59"/>
    <n v="5"/>
    <n v="0.08"/>
    <n v="0.2"/>
    <s v="West"/>
    <s v="CUST0097"/>
    <n v="6927.95"/>
  </r>
  <r>
    <n v="984"/>
    <x v="330"/>
    <x v="1"/>
    <s v="Accessories"/>
    <n v="1269.54"/>
    <n v="5"/>
    <n v="0.21"/>
    <n v="0.39"/>
    <s v="North"/>
    <s v="CUST0031"/>
    <n v="6347.7"/>
  </r>
  <r>
    <n v="985"/>
    <x v="307"/>
    <x v="1"/>
    <s v="Accessories"/>
    <n v="356.37"/>
    <n v="1"/>
    <n v="0.19"/>
    <n v="0.32"/>
    <s v="East"/>
    <s v="CUST0282"/>
    <n v="356.37"/>
  </r>
  <r>
    <n v="986"/>
    <x v="86"/>
    <x v="3"/>
    <s v="Accessories"/>
    <n v="291.82"/>
    <n v="3"/>
    <n v="0.1"/>
    <n v="0.32"/>
    <s v="East"/>
    <s v="CUST0299"/>
    <n v="875.46"/>
  </r>
  <r>
    <n v="987"/>
    <x v="72"/>
    <x v="3"/>
    <s v="Accessories"/>
    <n v="1104.05"/>
    <n v="1"/>
    <n v="0.25"/>
    <n v="0.34"/>
    <s v="North"/>
    <s v="CUST0186"/>
    <n v="1104.05"/>
  </r>
  <r>
    <n v="988"/>
    <x v="253"/>
    <x v="3"/>
    <s v="Accessories"/>
    <n v="292.31"/>
    <n v="5"/>
    <n v="0.21"/>
    <n v="0.14000000000000001"/>
    <s v="North"/>
    <s v="CUST0018"/>
    <n v="1461.55"/>
  </r>
  <r>
    <n v="989"/>
    <x v="243"/>
    <x v="1"/>
    <s v="Accessories"/>
    <n v="834.17"/>
    <n v="5"/>
    <n v="0.19"/>
    <n v="0.27"/>
    <s v="South"/>
    <s v="CUST0113"/>
    <n v="4170.8499999999995"/>
  </r>
  <r>
    <n v="990"/>
    <x v="121"/>
    <x v="5"/>
    <s v="Electronics"/>
    <n v="224.45"/>
    <n v="3"/>
    <n v="0.12"/>
    <n v="0.14000000000000001"/>
    <s v="North"/>
    <s v="CUST0268"/>
    <n v="673.34999999999991"/>
  </r>
  <r>
    <n v="991"/>
    <x v="232"/>
    <x v="5"/>
    <s v="Electronics"/>
    <n v="1102.01"/>
    <n v="5"/>
    <n v="0.13"/>
    <n v="0.14000000000000001"/>
    <s v="East"/>
    <s v="CUST0025"/>
    <n v="5510.05"/>
  </r>
  <r>
    <n v="992"/>
    <x v="238"/>
    <x v="3"/>
    <s v="Accessories"/>
    <n v="547.71"/>
    <n v="3"/>
    <n v="0.2"/>
    <n v="0.25"/>
    <s v="East"/>
    <s v="CUST0063"/>
    <n v="1643.13"/>
  </r>
  <r>
    <n v="993"/>
    <x v="144"/>
    <x v="5"/>
    <s v="Electronics"/>
    <n v="552.77"/>
    <n v="3"/>
    <n v="0.1"/>
    <n v="0.17"/>
    <s v="West"/>
    <s v="CUST0238"/>
    <n v="1658.31"/>
  </r>
  <r>
    <n v="994"/>
    <x v="88"/>
    <x v="0"/>
    <s v="Electronics"/>
    <n v="318.25"/>
    <n v="3"/>
    <n v="0.17"/>
    <n v="0.16"/>
    <s v="South"/>
    <s v="CUST0030"/>
    <n v="954.75"/>
  </r>
  <r>
    <n v="995"/>
    <x v="107"/>
    <x v="3"/>
    <s v="Accessories"/>
    <n v="62.17"/>
    <n v="2"/>
    <n v="0.14000000000000001"/>
    <n v="0.11"/>
    <s v="West"/>
    <s v="CUST0195"/>
    <n v="124.34"/>
  </r>
  <r>
    <n v="996"/>
    <x v="0"/>
    <x v="5"/>
    <s v="Electronics"/>
    <n v="410.21"/>
    <n v="1"/>
    <n v="0.22"/>
    <n v="0.22"/>
    <s v="North"/>
    <s v="CUST0245"/>
    <n v="410.21"/>
  </r>
  <r>
    <n v="997"/>
    <x v="258"/>
    <x v="2"/>
    <s v="Accessories"/>
    <n v="1109.1600000000001"/>
    <n v="5"/>
    <n v="0.15"/>
    <n v="0.14000000000000001"/>
    <s v="West"/>
    <s v="CUST0190"/>
    <n v="5545.8"/>
  </r>
  <r>
    <n v="998"/>
    <x v="180"/>
    <x v="0"/>
    <s v="Electronics"/>
    <n v="1370.14"/>
    <n v="4"/>
    <n v="0.18"/>
    <n v="0.25"/>
    <s v="South"/>
    <s v="CUST0185"/>
    <n v="5480.56"/>
  </r>
  <r>
    <n v="999"/>
    <x v="128"/>
    <x v="5"/>
    <s v="Electronics"/>
    <n v="495.59"/>
    <n v="1"/>
    <n v="0.15"/>
    <n v="0.19"/>
    <s v="North"/>
    <s v="CUST0101"/>
    <n v="495.59"/>
  </r>
  <r>
    <n v="1000"/>
    <x v="217"/>
    <x v="0"/>
    <s v="Electronics"/>
    <n v="159.68"/>
    <n v="3"/>
    <n v="0.18"/>
    <n v="0.38"/>
    <s v="East"/>
    <s v="CUST0106"/>
    <n v="479.04"/>
  </r>
  <r>
    <n v="1001"/>
    <x v="15"/>
    <x v="1"/>
    <s v="Accessories"/>
    <n v="114.83"/>
    <n v="3"/>
    <n v="0.19"/>
    <n v="0.27"/>
    <s v="North"/>
    <s v="CUST0110"/>
    <n v="344.49"/>
  </r>
  <r>
    <n v="1002"/>
    <x v="84"/>
    <x v="2"/>
    <s v="Accessories"/>
    <n v="794.03"/>
    <n v="1"/>
    <n v="0.06"/>
    <n v="0.11"/>
    <s v="East"/>
    <s v="CUST0030"/>
    <n v="794.03"/>
  </r>
  <r>
    <n v="1003"/>
    <x v="150"/>
    <x v="5"/>
    <s v="Electronics"/>
    <n v="876.25"/>
    <n v="1"/>
    <n v="0.09"/>
    <n v="0.28999999999999998"/>
    <s v="East"/>
    <s v="CUST0183"/>
    <n v="876.25"/>
  </r>
  <r>
    <n v="1004"/>
    <x v="69"/>
    <x v="1"/>
    <s v="Accessories"/>
    <n v="927.18"/>
    <n v="3"/>
    <n v="0.08"/>
    <n v="0.2"/>
    <s v="East"/>
    <s v="CUST0093"/>
    <n v="2781.54"/>
  </r>
  <r>
    <n v="1005"/>
    <x v="24"/>
    <x v="5"/>
    <s v="Electronics"/>
    <n v="318"/>
    <n v="2"/>
    <n v="0.09"/>
    <n v="0.27"/>
    <s v="East"/>
    <s v="CUST0099"/>
    <n v="636"/>
  </r>
  <r>
    <n v="1006"/>
    <x v="331"/>
    <x v="3"/>
    <s v="Accessories"/>
    <n v="894.74"/>
    <n v="1"/>
    <n v="0.02"/>
    <n v="0.13"/>
    <s v="West"/>
    <s v="CUST0248"/>
    <n v="894.74"/>
  </r>
  <r>
    <n v="1007"/>
    <x v="280"/>
    <x v="2"/>
    <s v="Accessories"/>
    <n v="789.16"/>
    <n v="4"/>
    <n v="0.17"/>
    <n v="0.1"/>
    <s v="South"/>
    <s v="CUST0207"/>
    <n v="3156.64"/>
  </r>
  <r>
    <n v="1008"/>
    <x v="317"/>
    <x v="5"/>
    <s v="Electronics"/>
    <n v="917.14"/>
    <n v="4"/>
    <n v="0.19"/>
    <n v="0.3"/>
    <s v="North"/>
    <s v="CUST0027"/>
    <n v="3668.56"/>
  </r>
  <r>
    <n v="1009"/>
    <x v="332"/>
    <x v="1"/>
    <s v="Accessories"/>
    <n v="457.96"/>
    <n v="1"/>
    <n v="0.01"/>
    <n v="0.15"/>
    <s v="South"/>
    <s v="CUST0248"/>
    <n v="457.96"/>
  </r>
  <r>
    <n v="1010"/>
    <x v="333"/>
    <x v="1"/>
    <s v="Accessories"/>
    <n v="1067.8499999999999"/>
    <n v="5"/>
    <n v="0.17"/>
    <n v="0.3"/>
    <s v="East"/>
    <s v="CUST0256"/>
    <n v="5339.25"/>
  </r>
  <r>
    <n v="1011"/>
    <x v="300"/>
    <x v="2"/>
    <s v="Accessories"/>
    <n v="1228.72"/>
    <n v="4"/>
    <n v="0.3"/>
    <n v="0.32"/>
    <s v="West"/>
    <s v="CUST0292"/>
    <n v="4914.88"/>
  </r>
  <r>
    <n v="1012"/>
    <x v="41"/>
    <x v="5"/>
    <s v="Electronics"/>
    <n v="221.07"/>
    <n v="3"/>
    <n v="0.01"/>
    <n v="0.17"/>
    <s v="West"/>
    <s v="CUST0023"/>
    <n v="663.21"/>
  </r>
  <r>
    <n v="1013"/>
    <x v="93"/>
    <x v="1"/>
    <s v="Accessories"/>
    <n v="228"/>
    <n v="3"/>
    <n v="7.0000000000000007E-2"/>
    <n v="0.14000000000000001"/>
    <s v="North"/>
    <s v="CUST0126"/>
    <n v="684"/>
  </r>
  <r>
    <n v="1014"/>
    <x v="201"/>
    <x v="2"/>
    <s v="Accessories"/>
    <n v="762.59"/>
    <n v="4"/>
    <n v="0.11"/>
    <n v="0.37"/>
    <s v="South"/>
    <s v="CUST0251"/>
    <n v="3050.36"/>
  </r>
  <r>
    <n v="1015"/>
    <x v="170"/>
    <x v="0"/>
    <s v="Electronics"/>
    <n v="1146.01"/>
    <n v="2"/>
    <n v="0.2"/>
    <n v="0.38"/>
    <s v="East"/>
    <s v="CUST0080"/>
    <n v="2292.02"/>
  </r>
  <r>
    <n v="1016"/>
    <x v="70"/>
    <x v="2"/>
    <s v="Accessories"/>
    <n v="1465.43"/>
    <n v="5"/>
    <n v="0.28000000000000003"/>
    <n v="0.19"/>
    <s v="North"/>
    <s v="CUST0240"/>
    <n v="7327.1500000000005"/>
  </r>
  <r>
    <n v="1017"/>
    <x v="241"/>
    <x v="0"/>
    <s v="Electronics"/>
    <n v="1332.28"/>
    <n v="1"/>
    <n v="0.05"/>
    <n v="0.2"/>
    <s v="West"/>
    <s v="CUST0096"/>
    <n v="1332.28"/>
  </r>
  <r>
    <n v="1018"/>
    <x v="65"/>
    <x v="3"/>
    <s v="Accessories"/>
    <n v="217.81"/>
    <n v="2"/>
    <n v="0.28999999999999998"/>
    <n v="0.23"/>
    <s v="East"/>
    <s v="CUST0031"/>
    <n v="435.62"/>
  </r>
  <r>
    <n v="1019"/>
    <x v="8"/>
    <x v="4"/>
    <s v="Electronics"/>
    <n v="330.06"/>
    <n v="3"/>
    <n v="0.09"/>
    <n v="0.23"/>
    <s v="South"/>
    <s v="CUST0094"/>
    <n v="990.18000000000006"/>
  </r>
  <r>
    <n v="1020"/>
    <x v="302"/>
    <x v="0"/>
    <s v="Electronics"/>
    <n v="1124.19"/>
    <n v="3"/>
    <n v="0.12"/>
    <n v="0.1"/>
    <s v="North"/>
    <s v="CUST0097"/>
    <n v="3372.57"/>
  </r>
  <r>
    <n v="1021"/>
    <x v="9"/>
    <x v="5"/>
    <s v="Electronics"/>
    <n v="1180.5"/>
    <n v="1"/>
    <n v="0.11"/>
    <n v="0.33"/>
    <s v="East"/>
    <s v="CUST0149"/>
    <n v="1180.5"/>
  </r>
  <r>
    <n v="1022"/>
    <x v="246"/>
    <x v="4"/>
    <s v="Electronics"/>
    <n v="1273.03"/>
    <n v="1"/>
    <n v="0.2"/>
    <n v="0.28999999999999998"/>
    <s v="East"/>
    <s v="CUST0056"/>
    <n v="1273.03"/>
  </r>
  <r>
    <n v="1023"/>
    <x v="70"/>
    <x v="3"/>
    <s v="Accessories"/>
    <n v="525.38"/>
    <n v="1"/>
    <n v="0.27"/>
    <n v="0.18"/>
    <s v="East"/>
    <s v="CUST0167"/>
    <n v="525.38"/>
  </r>
  <r>
    <n v="1024"/>
    <x v="277"/>
    <x v="4"/>
    <s v="Electronics"/>
    <n v="391.6"/>
    <n v="4"/>
    <n v="0.18"/>
    <n v="0.25"/>
    <s v="South"/>
    <s v="CUST0183"/>
    <n v="1566.4"/>
  </r>
  <r>
    <n v="1025"/>
    <x v="55"/>
    <x v="2"/>
    <s v="Accessories"/>
    <n v="471.14"/>
    <n v="5"/>
    <n v="0.26"/>
    <n v="0.34"/>
    <s v="North"/>
    <s v="CUST0032"/>
    <n v="2355.6999999999998"/>
  </r>
  <r>
    <n v="1026"/>
    <x v="320"/>
    <x v="1"/>
    <s v="Accessories"/>
    <n v="241.38"/>
    <n v="2"/>
    <n v="0.28000000000000003"/>
    <n v="0.3"/>
    <s v="East"/>
    <s v="CUST0134"/>
    <n v="482.76"/>
  </r>
  <r>
    <n v="1027"/>
    <x v="234"/>
    <x v="5"/>
    <s v="Electronics"/>
    <n v="1012.3"/>
    <n v="3"/>
    <n v="0.15"/>
    <n v="0.14000000000000001"/>
    <s v="East"/>
    <s v="CUST0117"/>
    <n v="3036.8999999999996"/>
  </r>
  <r>
    <n v="1028"/>
    <x v="0"/>
    <x v="0"/>
    <s v="Electronics"/>
    <n v="1208.53"/>
    <n v="5"/>
    <n v="0.04"/>
    <n v="0.39"/>
    <s v="East"/>
    <s v="CUST0174"/>
    <n v="6042.65"/>
  </r>
  <r>
    <n v="1029"/>
    <x v="31"/>
    <x v="5"/>
    <s v="Electronics"/>
    <n v="1031.9100000000001"/>
    <n v="3"/>
    <n v="0.24"/>
    <n v="0.38"/>
    <s v="South"/>
    <s v="CUST0184"/>
    <n v="3095.7300000000005"/>
  </r>
  <r>
    <n v="1030"/>
    <x v="313"/>
    <x v="0"/>
    <s v="Electronics"/>
    <n v="1180.24"/>
    <n v="1"/>
    <n v="0.3"/>
    <n v="0.28000000000000003"/>
    <s v="North"/>
    <s v="CUST0040"/>
    <n v="1180.24"/>
  </r>
  <r>
    <n v="1031"/>
    <x v="22"/>
    <x v="0"/>
    <s v="Electronics"/>
    <n v="1024.6400000000001"/>
    <n v="4"/>
    <n v="0.19"/>
    <n v="0.28999999999999998"/>
    <s v="East"/>
    <s v="CUST0006"/>
    <n v="4098.5600000000004"/>
  </r>
  <r>
    <n v="1032"/>
    <x v="163"/>
    <x v="0"/>
    <s v="Electronics"/>
    <n v="104.11"/>
    <n v="3"/>
    <n v="0.28999999999999998"/>
    <n v="0.17"/>
    <s v="West"/>
    <s v="CUST0155"/>
    <n v="312.33"/>
  </r>
  <r>
    <n v="1033"/>
    <x v="178"/>
    <x v="1"/>
    <s v="Accessories"/>
    <n v="311.94"/>
    <n v="3"/>
    <n v="0.25"/>
    <n v="0.26"/>
    <s v="South"/>
    <s v="CUST0082"/>
    <n v="935.81999999999994"/>
  </r>
  <r>
    <n v="1034"/>
    <x v="89"/>
    <x v="2"/>
    <s v="Accessories"/>
    <n v="617.64"/>
    <n v="5"/>
    <n v="0.15"/>
    <n v="0.28000000000000003"/>
    <s v="East"/>
    <s v="CUST0010"/>
    <n v="3088.2"/>
  </r>
  <r>
    <n v="1035"/>
    <x v="231"/>
    <x v="1"/>
    <s v="Accessories"/>
    <n v="1194.77"/>
    <n v="3"/>
    <n v="0.21"/>
    <n v="0.13"/>
    <s v="North"/>
    <s v="CUST0126"/>
    <n v="3584.31"/>
  </r>
  <r>
    <n v="1036"/>
    <x v="334"/>
    <x v="0"/>
    <s v="Electronics"/>
    <n v="716.47"/>
    <n v="5"/>
    <n v="0.28000000000000003"/>
    <n v="0.14000000000000001"/>
    <s v="South"/>
    <s v="CUST0108"/>
    <n v="3582.3500000000004"/>
  </r>
  <r>
    <n v="1037"/>
    <x v="108"/>
    <x v="4"/>
    <s v="Electronics"/>
    <n v="230.39"/>
    <n v="2"/>
    <n v="0.12"/>
    <n v="0.37"/>
    <s v="South"/>
    <s v="CUST0010"/>
    <n v="460.78"/>
  </r>
  <r>
    <n v="1038"/>
    <x v="154"/>
    <x v="3"/>
    <s v="Accessories"/>
    <n v="129.6"/>
    <n v="3"/>
    <n v="0.2"/>
    <n v="0.28999999999999998"/>
    <s v="East"/>
    <s v="CUST0127"/>
    <n v="388.79999999999995"/>
  </r>
  <r>
    <n v="1039"/>
    <x v="238"/>
    <x v="0"/>
    <s v="Electronics"/>
    <n v="1050.4000000000001"/>
    <n v="5"/>
    <n v="0.09"/>
    <n v="0.33"/>
    <s v="West"/>
    <s v="CUST0097"/>
    <n v="5252"/>
  </r>
  <r>
    <n v="1040"/>
    <x v="192"/>
    <x v="4"/>
    <s v="Electronics"/>
    <n v="884.38"/>
    <n v="4"/>
    <n v="0.16"/>
    <n v="0.39"/>
    <s v="North"/>
    <s v="CUST0189"/>
    <n v="3537.52"/>
  </r>
  <r>
    <n v="1041"/>
    <x v="76"/>
    <x v="3"/>
    <s v="Accessories"/>
    <n v="551.86"/>
    <n v="1"/>
    <n v="0.05"/>
    <n v="0.15"/>
    <s v="South"/>
    <s v="CUST0226"/>
    <n v="551.86"/>
  </r>
  <r>
    <n v="1042"/>
    <x v="7"/>
    <x v="4"/>
    <s v="Electronics"/>
    <n v="773.94"/>
    <n v="3"/>
    <n v="7.0000000000000007E-2"/>
    <n v="0.12"/>
    <s v="South"/>
    <s v="CUST0237"/>
    <n v="2321.8200000000002"/>
  </r>
  <r>
    <n v="1043"/>
    <x v="3"/>
    <x v="4"/>
    <s v="Electronics"/>
    <n v="903.17"/>
    <n v="5"/>
    <n v="0.14000000000000001"/>
    <n v="0.22"/>
    <s v="West"/>
    <s v="CUST0213"/>
    <n v="4515.8499999999995"/>
  </r>
  <r>
    <n v="1044"/>
    <x v="277"/>
    <x v="4"/>
    <s v="Electronics"/>
    <n v="313.68"/>
    <n v="2"/>
    <n v="0.19"/>
    <n v="0.23"/>
    <s v="West"/>
    <s v="CUST0066"/>
    <n v="627.36"/>
  </r>
  <r>
    <n v="1045"/>
    <x v="60"/>
    <x v="4"/>
    <s v="Electronics"/>
    <n v="433.38"/>
    <n v="2"/>
    <n v="0.28000000000000003"/>
    <n v="0.3"/>
    <s v="East"/>
    <s v="CUST0061"/>
    <n v="866.76"/>
  </r>
  <r>
    <n v="1046"/>
    <x v="167"/>
    <x v="0"/>
    <s v="Electronics"/>
    <n v="904.17"/>
    <n v="1"/>
    <n v="0.13"/>
    <n v="0.38"/>
    <s v="East"/>
    <s v="CUST0216"/>
    <n v="904.17"/>
  </r>
  <r>
    <n v="1047"/>
    <x v="335"/>
    <x v="2"/>
    <s v="Accessories"/>
    <n v="580.21"/>
    <n v="5"/>
    <n v="0.06"/>
    <n v="0.23"/>
    <s v="East"/>
    <s v="CUST0069"/>
    <n v="2901.05"/>
  </r>
  <r>
    <n v="1048"/>
    <x v="157"/>
    <x v="5"/>
    <s v="Electronics"/>
    <n v="180.47"/>
    <n v="3"/>
    <n v="0.27"/>
    <n v="0.35"/>
    <s v="West"/>
    <s v="CUST0038"/>
    <n v="541.41"/>
  </r>
  <r>
    <n v="1049"/>
    <x v="336"/>
    <x v="4"/>
    <s v="Electronics"/>
    <n v="1237.79"/>
    <n v="5"/>
    <n v="0.04"/>
    <n v="0.12"/>
    <s v="North"/>
    <s v="CUST0168"/>
    <n v="6188.95"/>
  </r>
  <r>
    <n v="1050"/>
    <x v="251"/>
    <x v="5"/>
    <s v="Electronics"/>
    <n v="1091.1099999999999"/>
    <n v="1"/>
    <n v="0.21"/>
    <n v="0.19"/>
    <s v="South"/>
    <s v="CUST0123"/>
    <n v="1091.1099999999999"/>
  </r>
  <r>
    <n v="1051"/>
    <x v="61"/>
    <x v="2"/>
    <s v="Accessories"/>
    <n v="539.53"/>
    <n v="3"/>
    <n v="0.22"/>
    <n v="0.31"/>
    <s v="North"/>
    <s v="CUST0044"/>
    <n v="1618.59"/>
  </r>
  <r>
    <n v="1052"/>
    <x v="282"/>
    <x v="4"/>
    <s v="Electronics"/>
    <n v="188.14"/>
    <n v="4"/>
    <n v="0.28000000000000003"/>
    <n v="0.13"/>
    <s v="South"/>
    <s v="CUST0013"/>
    <n v="752.56"/>
  </r>
  <r>
    <n v="1053"/>
    <x v="336"/>
    <x v="5"/>
    <s v="Electronics"/>
    <n v="104.4"/>
    <n v="2"/>
    <n v="0.08"/>
    <n v="0.28999999999999998"/>
    <s v="North"/>
    <s v="CUST0246"/>
    <n v="208.8"/>
  </r>
  <r>
    <n v="1054"/>
    <x v="192"/>
    <x v="0"/>
    <s v="Electronics"/>
    <n v="692"/>
    <n v="1"/>
    <n v="0.13"/>
    <n v="0.3"/>
    <s v="East"/>
    <s v="CUST0210"/>
    <n v="692"/>
  </r>
  <r>
    <n v="1055"/>
    <x v="74"/>
    <x v="4"/>
    <s v="Electronics"/>
    <n v="1165.45"/>
    <n v="3"/>
    <n v="0.01"/>
    <n v="0.26"/>
    <s v="East"/>
    <s v="CUST0034"/>
    <n v="3496.3500000000004"/>
  </r>
  <r>
    <n v="1056"/>
    <x v="295"/>
    <x v="2"/>
    <s v="Accessories"/>
    <n v="1483.54"/>
    <n v="2"/>
    <n v="0.3"/>
    <n v="0.33"/>
    <s v="North"/>
    <s v="CUST0266"/>
    <n v="2967.08"/>
  </r>
  <r>
    <n v="1057"/>
    <x v="129"/>
    <x v="4"/>
    <s v="Electronics"/>
    <n v="1332.59"/>
    <n v="1"/>
    <n v="0.26"/>
    <n v="0.13"/>
    <s v="South"/>
    <s v="CUST0007"/>
    <n v="1332.59"/>
  </r>
  <r>
    <n v="1058"/>
    <x v="27"/>
    <x v="3"/>
    <s v="Accessories"/>
    <n v="1291.67"/>
    <n v="4"/>
    <n v="0.28999999999999998"/>
    <n v="0.14000000000000001"/>
    <s v="East"/>
    <s v="CUST0026"/>
    <n v="5166.68"/>
  </r>
  <r>
    <n v="1059"/>
    <x v="177"/>
    <x v="4"/>
    <s v="Electronics"/>
    <n v="522.55999999999995"/>
    <n v="3"/>
    <n v="0"/>
    <n v="0.19"/>
    <s v="West"/>
    <s v="CUST0233"/>
    <n v="1567.6799999999998"/>
  </r>
  <r>
    <n v="1060"/>
    <x v="140"/>
    <x v="4"/>
    <s v="Electronics"/>
    <n v="227.11"/>
    <n v="3"/>
    <n v="0.13"/>
    <n v="0.12"/>
    <s v="South"/>
    <s v="CUST0209"/>
    <n v="681.33"/>
  </r>
  <r>
    <n v="1061"/>
    <x v="20"/>
    <x v="4"/>
    <s v="Electronics"/>
    <n v="640.66"/>
    <n v="5"/>
    <n v="0.26"/>
    <n v="0.37"/>
    <s v="North"/>
    <s v="CUST0036"/>
    <n v="3203.2999999999997"/>
  </r>
  <r>
    <n v="1062"/>
    <x v="106"/>
    <x v="2"/>
    <s v="Accessories"/>
    <n v="182.53"/>
    <n v="2"/>
    <n v="0.09"/>
    <n v="0.19"/>
    <s v="South"/>
    <s v="CUST0177"/>
    <n v="365.06"/>
  </r>
  <r>
    <n v="1063"/>
    <x v="145"/>
    <x v="2"/>
    <s v="Accessories"/>
    <n v="1180.1600000000001"/>
    <n v="3"/>
    <n v="0.19"/>
    <n v="0.14000000000000001"/>
    <s v="South"/>
    <s v="CUST0150"/>
    <n v="3540.4800000000005"/>
  </r>
  <r>
    <n v="1064"/>
    <x v="286"/>
    <x v="1"/>
    <s v="Accessories"/>
    <n v="1147.31"/>
    <n v="1"/>
    <n v="0.25"/>
    <n v="0.26"/>
    <s v="North"/>
    <s v="CUST0182"/>
    <n v="1147.31"/>
  </r>
  <r>
    <n v="1065"/>
    <x v="174"/>
    <x v="3"/>
    <s v="Accessories"/>
    <n v="1434.29"/>
    <n v="3"/>
    <n v="0.22"/>
    <n v="0.14000000000000001"/>
    <s v="West"/>
    <s v="CUST0281"/>
    <n v="4302.87"/>
  </r>
  <r>
    <n v="1066"/>
    <x v="337"/>
    <x v="1"/>
    <s v="Accessories"/>
    <n v="737.21"/>
    <n v="2"/>
    <n v="0.15"/>
    <n v="0.33"/>
    <s v="North"/>
    <s v="CUST0198"/>
    <n v="1474.42"/>
  </r>
  <r>
    <n v="1067"/>
    <x v="193"/>
    <x v="5"/>
    <s v="Electronics"/>
    <n v="766.14"/>
    <n v="1"/>
    <n v="0.25"/>
    <n v="0.37"/>
    <s v="North"/>
    <s v="CUST0198"/>
    <n v="766.14"/>
  </r>
  <r>
    <n v="1068"/>
    <x v="299"/>
    <x v="2"/>
    <s v="Accessories"/>
    <n v="444.17"/>
    <n v="2"/>
    <n v="0.11"/>
    <n v="0.22"/>
    <s v="East"/>
    <s v="CUST0010"/>
    <n v="888.34"/>
  </r>
  <r>
    <n v="1069"/>
    <x v="298"/>
    <x v="3"/>
    <s v="Accessories"/>
    <n v="682.04"/>
    <n v="3"/>
    <n v="0.21"/>
    <n v="0.16"/>
    <s v="West"/>
    <s v="CUST0259"/>
    <n v="2046.12"/>
  </r>
  <r>
    <n v="1070"/>
    <x v="51"/>
    <x v="2"/>
    <s v="Accessories"/>
    <n v="767.43"/>
    <n v="1"/>
    <n v="0.19"/>
    <n v="0.15"/>
    <s v="North"/>
    <s v="CUST0082"/>
    <n v="767.43"/>
  </r>
  <r>
    <n v="1071"/>
    <x v="272"/>
    <x v="1"/>
    <s v="Accessories"/>
    <n v="153.97999999999999"/>
    <n v="2"/>
    <n v="7.0000000000000007E-2"/>
    <n v="0.16"/>
    <s v="West"/>
    <s v="CUST0122"/>
    <n v="307.95999999999998"/>
  </r>
  <r>
    <n v="1072"/>
    <x v="55"/>
    <x v="1"/>
    <s v="Accessories"/>
    <n v="429.13"/>
    <n v="4"/>
    <n v="0.28999999999999998"/>
    <n v="0.32"/>
    <s v="North"/>
    <s v="CUST0071"/>
    <n v="1716.52"/>
  </r>
  <r>
    <n v="1073"/>
    <x v="327"/>
    <x v="5"/>
    <s v="Electronics"/>
    <n v="289.17"/>
    <n v="3"/>
    <n v="0.28000000000000003"/>
    <n v="0.14000000000000001"/>
    <s v="East"/>
    <s v="CUST0225"/>
    <n v="867.51"/>
  </r>
  <r>
    <n v="1074"/>
    <x v="311"/>
    <x v="2"/>
    <s v="Accessories"/>
    <n v="1248"/>
    <n v="5"/>
    <n v="0.1"/>
    <n v="0.28999999999999998"/>
    <s v="North"/>
    <s v="CUST0162"/>
    <n v="6240"/>
  </r>
  <r>
    <n v="1075"/>
    <x v="203"/>
    <x v="1"/>
    <s v="Accessories"/>
    <n v="959.06"/>
    <n v="1"/>
    <n v="0.28000000000000003"/>
    <n v="0.38"/>
    <s v="South"/>
    <s v="CUST0291"/>
    <n v="959.06"/>
  </r>
  <r>
    <n v="1076"/>
    <x v="174"/>
    <x v="2"/>
    <s v="Accessories"/>
    <n v="1243.26"/>
    <n v="2"/>
    <n v="0.28000000000000003"/>
    <n v="0.35"/>
    <s v="West"/>
    <s v="CUST0085"/>
    <n v="2486.52"/>
  </r>
  <r>
    <n v="1077"/>
    <x v="206"/>
    <x v="3"/>
    <s v="Accessories"/>
    <n v="487.71"/>
    <n v="2"/>
    <n v="0.04"/>
    <n v="0.28000000000000003"/>
    <s v="North"/>
    <s v="CUST0176"/>
    <n v="975.42"/>
  </r>
  <r>
    <n v="1078"/>
    <x v="184"/>
    <x v="4"/>
    <s v="Electronics"/>
    <n v="839.11"/>
    <n v="4"/>
    <n v="0.04"/>
    <n v="0.16"/>
    <s v="West"/>
    <s v="CUST0155"/>
    <n v="3356.44"/>
  </r>
  <r>
    <n v="1079"/>
    <x v="14"/>
    <x v="1"/>
    <s v="Accessories"/>
    <n v="995.2"/>
    <n v="3"/>
    <n v="0.19"/>
    <n v="0.28000000000000003"/>
    <s v="West"/>
    <s v="CUST0035"/>
    <n v="2985.6000000000004"/>
  </r>
  <r>
    <n v="1080"/>
    <x v="23"/>
    <x v="2"/>
    <s v="Accessories"/>
    <n v="800.97"/>
    <n v="3"/>
    <n v="0.21"/>
    <n v="0.16"/>
    <s v="North"/>
    <s v="CUST0299"/>
    <n v="2402.91"/>
  </r>
  <r>
    <n v="1081"/>
    <x v="119"/>
    <x v="0"/>
    <s v="Electronics"/>
    <n v="1206.3800000000001"/>
    <n v="2"/>
    <n v="0.11"/>
    <n v="0.26"/>
    <s v="West"/>
    <s v="CUST0063"/>
    <n v="2412.7600000000002"/>
  </r>
  <r>
    <n v="1082"/>
    <x v="267"/>
    <x v="2"/>
    <s v="Accessories"/>
    <n v="530.82000000000005"/>
    <n v="4"/>
    <n v="0.01"/>
    <n v="0.31"/>
    <s v="East"/>
    <s v="CUST0253"/>
    <n v="2123.2800000000002"/>
  </r>
  <r>
    <n v="1083"/>
    <x v="14"/>
    <x v="0"/>
    <s v="Electronics"/>
    <n v="107.22"/>
    <n v="5"/>
    <n v="0.11"/>
    <n v="0.13"/>
    <s v="North"/>
    <s v="CUST0293"/>
    <n v="536.1"/>
  </r>
  <r>
    <n v="1084"/>
    <x v="321"/>
    <x v="3"/>
    <s v="Accessories"/>
    <n v="143.86000000000001"/>
    <n v="1"/>
    <n v="0.03"/>
    <n v="0.37"/>
    <s v="East"/>
    <s v="CUST0128"/>
    <n v="143.86000000000001"/>
  </r>
  <r>
    <n v="1085"/>
    <x v="320"/>
    <x v="5"/>
    <s v="Electronics"/>
    <n v="610.98"/>
    <n v="4"/>
    <n v="0.04"/>
    <n v="0.19"/>
    <s v="North"/>
    <s v="CUST0261"/>
    <n v="2443.92"/>
  </r>
  <r>
    <n v="1086"/>
    <x v="267"/>
    <x v="5"/>
    <s v="Electronics"/>
    <n v="189.44"/>
    <n v="2"/>
    <n v="0.28999999999999998"/>
    <n v="0.16"/>
    <s v="South"/>
    <s v="CUST0263"/>
    <n v="378.88"/>
  </r>
  <r>
    <n v="1087"/>
    <x v="117"/>
    <x v="2"/>
    <s v="Accessories"/>
    <n v="379.32"/>
    <n v="2"/>
    <n v="0.27"/>
    <n v="0.27"/>
    <s v="North"/>
    <s v="CUST0116"/>
    <n v="758.64"/>
  </r>
  <r>
    <n v="1088"/>
    <x v="96"/>
    <x v="3"/>
    <s v="Accessories"/>
    <n v="1318.01"/>
    <n v="2"/>
    <n v="0.05"/>
    <n v="0.37"/>
    <s v="South"/>
    <s v="CUST0040"/>
    <n v="2636.02"/>
  </r>
  <r>
    <n v="1089"/>
    <x v="247"/>
    <x v="4"/>
    <s v="Electronics"/>
    <n v="321.86"/>
    <n v="1"/>
    <n v="0.03"/>
    <n v="0.1"/>
    <s v="South"/>
    <s v="CUST0266"/>
    <n v="321.86"/>
  </r>
  <r>
    <n v="1090"/>
    <x v="260"/>
    <x v="5"/>
    <s v="Electronics"/>
    <n v="1324.32"/>
    <n v="1"/>
    <n v="0.09"/>
    <n v="0.25"/>
    <s v="South"/>
    <s v="CUST0295"/>
    <n v="1324.32"/>
  </r>
  <r>
    <n v="1091"/>
    <x v="242"/>
    <x v="0"/>
    <s v="Electronics"/>
    <n v="1122.26"/>
    <n v="4"/>
    <n v="0.15"/>
    <n v="0.31"/>
    <s v="North"/>
    <s v="CUST0197"/>
    <n v="4489.04"/>
  </r>
  <r>
    <n v="1092"/>
    <x v="323"/>
    <x v="3"/>
    <s v="Accessories"/>
    <n v="1443.29"/>
    <n v="2"/>
    <n v="0.25"/>
    <n v="0.16"/>
    <s v="South"/>
    <s v="CUST0075"/>
    <n v="2886.58"/>
  </r>
  <r>
    <n v="1093"/>
    <x v="127"/>
    <x v="5"/>
    <s v="Electronics"/>
    <n v="841.5"/>
    <n v="4"/>
    <n v="0.23"/>
    <n v="0.34"/>
    <s v="North"/>
    <s v="CUST0194"/>
    <n v="3366"/>
  </r>
  <r>
    <n v="1094"/>
    <x v="332"/>
    <x v="5"/>
    <s v="Electronics"/>
    <n v="1094.54"/>
    <n v="1"/>
    <n v="0.25"/>
    <n v="0.21"/>
    <s v="West"/>
    <s v="CUST0013"/>
    <n v="1094.54"/>
  </r>
  <r>
    <n v="1095"/>
    <x v="302"/>
    <x v="0"/>
    <s v="Electronics"/>
    <n v="1192.1400000000001"/>
    <n v="4"/>
    <n v="0.24"/>
    <n v="0.35"/>
    <s v="West"/>
    <s v="CUST0273"/>
    <n v="4768.5600000000004"/>
  </r>
  <r>
    <n v="1096"/>
    <x v="313"/>
    <x v="1"/>
    <s v="Accessories"/>
    <n v="682.78"/>
    <n v="1"/>
    <n v="0.12"/>
    <n v="0.3"/>
    <s v="West"/>
    <s v="CUST0275"/>
    <n v="682.78"/>
  </r>
  <r>
    <n v="1097"/>
    <x v="338"/>
    <x v="4"/>
    <s v="Electronics"/>
    <n v="1129.72"/>
    <n v="4"/>
    <n v="0.19"/>
    <n v="0.24"/>
    <s v="South"/>
    <s v="CUST0042"/>
    <n v="4518.88"/>
  </r>
  <r>
    <n v="1098"/>
    <x v="50"/>
    <x v="5"/>
    <s v="Electronics"/>
    <n v="1130.32"/>
    <n v="3"/>
    <n v="0.03"/>
    <n v="0.28000000000000003"/>
    <s v="East"/>
    <s v="CUST0206"/>
    <n v="3390.96"/>
  </r>
  <r>
    <n v="1099"/>
    <x v="296"/>
    <x v="3"/>
    <s v="Accessories"/>
    <n v="1129.2"/>
    <n v="5"/>
    <n v="0.11"/>
    <n v="0.13"/>
    <s v="North"/>
    <s v="CUST0007"/>
    <n v="5646"/>
  </r>
  <r>
    <n v="1100"/>
    <x v="239"/>
    <x v="4"/>
    <s v="Electronics"/>
    <n v="1079.81"/>
    <n v="3"/>
    <n v="0.18"/>
    <n v="0.34"/>
    <s v="South"/>
    <s v="CUST0005"/>
    <n v="3239.43"/>
  </r>
  <r>
    <n v="1101"/>
    <x v="99"/>
    <x v="3"/>
    <s v="Accessories"/>
    <n v="1349.48"/>
    <n v="4"/>
    <n v="0.16"/>
    <n v="0.28999999999999998"/>
    <s v="North"/>
    <s v="CUST0070"/>
    <n v="5397.92"/>
  </r>
  <r>
    <n v="1102"/>
    <x v="264"/>
    <x v="0"/>
    <s v="Electronics"/>
    <n v="1008.43"/>
    <n v="5"/>
    <n v="0.06"/>
    <n v="0.1"/>
    <s v="West"/>
    <s v="CUST0109"/>
    <n v="5042.1499999999996"/>
  </r>
  <r>
    <n v="1103"/>
    <x v="321"/>
    <x v="0"/>
    <s v="Electronics"/>
    <n v="57.58"/>
    <n v="5"/>
    <n v="0.2"/>
    <n v="0.35"/>
    <s v="West"/>
    <s v="CUST0213"/>
    <n v="287.89999999999998"/>
  </r>
  <r>
    <n v="1104"/>
    <x v="310"/>
    <x v="0"/>
    <s v="Electronics"/>
    <n v="250.89"/>
    <n v="3"/>
    <n v="0.28000000000000003"/>
    <n v="0.25"/>
    <s v="East"/>
    <s v="CUST0289"/>
    <n v="752.67"/>
  </r>
  <r>
    <n v="1105"/>
    <x v="284"/>
    <x v="0"/>
    <s v="Electronics"/>
    <n v="1160.3800000000001"/>
    <n v="4"/>
    <n v="0.13"/>
    <n v="0.19"/>
    <s v="West"/>
    <s v="CUST0264"/>
    <n v="4641.5200000000004"/>
  </r>
  <r>
    <n v="1106"/>
    <x v="165"/>
    <x v="0"/>
    <s v="Electronics"/>
    <n v="981.49"/>
    <n v="5"/>
    <n v="0.27"/>
    <n v="0.14000000000000001"/>
    <s v="East"/>
    <s v="CUST0261"/>
    <n v="4907.45"/>
  </r>
  <r>
    <n v="1107"/>
    <x v="289"/>
    <x v="4"/>
    <s v="Electronics"/>
    <n v="1267.1099999999999"/>
    <n v="5"/>
    <n v="0.12"/>
    <n v="0.24"/>
    <s v="West"/>
    <s v="CUST0105"/>
    <n v="6335.5499999999993"/>
  </r>
  <r>
    <n v="1108"/>
    <x v="40"/>
    <x v="1"/>
    <s v="Accessories"/>
    <n v="886.28"/>
    <n v="4"/>
    <n v="0.26"/>
    <n v="0.13"/>
    <s v="West"/>
    <s v="CUST0076"/>
    <n v="3545.12"/>
  </r>
  <r>
    <n v="1109"/>
    <x v="110"/>
    <x v="0"/>
    <s v="Electronics"/>
    <n v="550.24"/>
    <n v="5"/>
    <n v="0.05"/>
    <n v="0.23"/>
    <s v="East"/>
    <s v="CUST0115"/>
    <n v="2751.2"/>
  </r>
  <r>
    <n v="1110"/>
    <x v="48"/>
    <x v="2"/>
    <s v="Accessories"/>
    <n v="1067.24"/>
    <n v="5"/>
    <n v="0.04"/>
    <n v="0.14000000000000001"/>
    <s v="West"/>
    <s v="CUST0078"/>
    <n v="5336.2"/>
  </r>
  <r>
    <n v="1111"/>
    <x v="61"/>
    <x v="3"/>
    <s v="Accessories"/>
    <n v="789.16"/>
    <n v="5"/>
    <n v="0.25"/>
    <n v="0.31"/>
    <s v="West"/>
    <s v="CUST0150"/>
    <n v="3945.7999999999997"/>
  </r>
  <r>
    <n v="1112"/>
    <x v="152"/>
    <x v="2"/>
    <s v="Accessories"/>
    <n v="1008.72"/>
    <n v="3"/>
    <n v="0.09"/>
    <n v="0.18"/>
    <s v="North"/>
    <s v="CUST0074"/>
    <n v="3026.16"/>
  </r>
  <r>
    <n v="1113"/>
    <x v="331"/>
    <x v="5"/>
    <s v="Electronics"/>
    <n v="1396.99"/>
    <n v="4"/>
    <n v="0.03"/>
    <n v="0.26"/>
    <s v="West"/>
    <s v="CUST0232"/>
    <n v="5587.96"/>
  </r>
  <r>
    <n v="1114"/>
    <x v="339"/>
    <x v="4"/>
    <s v="Electronics"/>
    <n v="1095.98"/>
    <n v="1"/>
    <n v="0.24"/>
    <n v="0.34"/>
    <s v="East"/>
    <s v="CUST0273"/>
    <n v="1095.98"/>
  </r>
  <r>
    <n v="1115"/>
    <x v="218"/>
    <x v="4"/>
    <s v="Electronics"/>
    <n v="857.51"/>
    <n v="4"/>
    <n v="0.05"/>
    <n v="0.31"/>
    <s v="West"/>
    <s v="CUST0277"/>
    <n v="3430.04"/>
  </r>
  <r>
    <n v="1116"/>
    <x v="165"/>
    <x v="2"/>
    <s v="Accessories"/>
    <n v="935.36"/>
    <n v="4"/>
    <n v="0.17"/>
    <n v="0.14000000000000001"/>
    <s v="East"/>
    <s v="CUST0249"/>
    <n v="3741.44"/>
  </r>
  <r>
    <n v="1117"/>
    <x v="196"/>
    <x v="2"/>
    <s v="Accessories"/>
    <n v="1149.26"/>
    <n v="2"/>
    <n v="0.06"/>
    <n v="0.2"/>
    <s v="West"/>
    <s v="CUST0110"/>
    <n v="2298.52"/>
  </r>
  <r>
    <n v="1118"/>
    <x v="290"/>
    <x v="1"/>
    <s v="Accessories"/>
    <n v="944.48"/>
    <n v="4"/>
    <n v="0.15"/>
    <n v="0.26"/>
    <s v="East"/>
    <s v="CUST0280"/>
    <n v="3777.92"/>
  </r>
  <r>
    <n v="1119"/>
    <x v="214"/>
    <x v="4"/>
    <s v="Electronics"/>
    <n v="226.15"/>
    <n v="4"/>
    <n v="0.06"/>
    <n v="0.34"/>
    <s v="South"/>
    <s v="CUST0077"/>
    <n v="904.6"/>
  </r>
  <r>
    <n v="1120"/>
    <x v="198"/>
    <x v="3"/>
    <s v="Accessories"/>
    <n v="1167.27"/>
    <n v="2"/>
    <n v="0.13"/>
    <n v="0.3"/>
    <s v="South"/>
    <s v="CUST0121"/>
    <n v="2334.54"/>
  </r>
  <r>
    <n v="1121"/>
    <x v="319"/>
    <x v="2"/>
    <s v="Accessories"/>
    <n v="433.21"/>
    <n v="5"/>
    <n v="0.04"/>
    <n v="0.12"/>
    <s v="North"/>
    <s v="CUST0176"/>
    <n v="2166.0499999999997"/>
  </r>
  <r>
    <n v="1122"/>
    <x v="259"/>
    <x v="0"/>
    <s v="Electronics"/>
    <n v="1385.9"/>
    <n v="1"/>
    <n v="0.1"/>
    <n v="0.32"/>
    <s v="East"/>
    <s v="CUST0067"/>
    <n v="1385.9"/>
  </r>
  <r>
    <n v="1123"/>
    <x v="207"/>
    <x v="4"/>
    <s v="Electronics"/>
    <n v="1297.17"/>
    <n v="4"/>
    <n v="0.26"/>
    <n v="0.11"/>
    <s v="South"/>
    <s v="CUST0169"/>
    <n v="5188.68"/>
  </r>
  <r>
    <n v="1124"/>
    <x v="254"/>
    <x v="4"/>
    <s v="Electronics"/>
    <n v="944.69"/>
    <n v="3"/>
    <n v="0.03"/>
    <n v="0.39"/>
    <s v="North"/>
    <s v="CUST0042"/>
    <n v="2834.07"/>
  </r>
  <r>
    <n v="1125"/>
    <x v="336"/>
    <x v="3"/>
    <s v="Accessories"/>
    <n v="289.91000000000003"/>
    <n v="1"/>
    <n v="7.0000000000000007E-2"/>
    <n v="0.25"/>
    <s v="North"/>
    <s v="CUST0202"/>
    <n v="289.91000000000003"/>
  </r>
  <r>
    <n v="1126"/>
    <x v="323"/>
    <x v="1"/>
    <s v="Accessories"/>
    <n v="135.47"/>
    <n v="1"/>
    <n v="0.14000000000000001"/>
    <n v="0.35"/>
    <s v="West"/>
    <s v="CUST0048"/>
    <n v="135.47"/>
  </r>
  <r>
    <n v="1127"/>
    <x v="160"/>
    <x v="1"/>
    <s v="Accessories"/>
    <n v="312.56"/>
    <n v="1"/>
    <n v="0.23"/>
    <n v="0.12"/>
    <s v="South"/>
    <s v="CUST0214"/>
    <n v="312.56"/>
  </r>
  <r>
    <n v="1128"/>
    <x v="311"/>
    <x v="2"/>
    <s v="Accessories"/>
    <n v="712.72"/>
    <n v="2"/>
    <n v="0.12"/>
    <n v="0.23"/>
    <s v="West"/>
    <s v="CUST0083"/>
    <n v="1425.44"/>
  </r>
  <r>
    <n v="1129"/>
    <x v="315"/>
    <x v="3"/>
    <s v="Accessories"/>
    <n v="199.01"/>
    <n v="1"/>
    <n v="0.25"/>
    <n v="0.18"/>
    <s v="North"/>
    <s v="CUST0166"/>
    <n v="199.01"/>
  </r>
  <r>
    <n v="1130"/>
    <x v="268"/>
    <x v="5"/>
    <s v="Electronics"/>
    <n v="83.89"/>
    <n v="3"/>
    <n v="0.26"/>
    <n v="0.2"/>
    <s v="South"/>
    <s v="CUST0268"/>
    <n v="251.67000000000002"/>
  </r>
  <r>
    <n v="1131"/>
    <x v="311"/>
    <x v="3"/>
    <s v="Accessories"/>
    <n v="541.54"/>
    <n v="5"/>
    <n v="0.27"/>
    <n v="0.17"/>
    <s v="West"/>
    <s v="CUST0004"/>
    <n v="2707.7"/>
  </r>
  <r>
    <n v="1132"/>
    <x v="50"/>
    <x v="3"/>
    <s v="Accessories"/>
    <n v="1155.73"/>
    <n v="3"/>
    <n v="0.26"/>
    <n v="0.27"/>
    <s v="East"/>
    <s v="CUST0035"/>
    <n v="3467.19"/>
  </r>
  <r>
    <n v="1133"/>
    <x v="315"/>
    <x v="3"/>
    <s v="Accessories"/>
    <n v="911.17"/>
    <n v="1"/>
    <n v="0.09"/>
    <n v="0.28999999999999998"/>
    <s v="South"/>
    <s v="CUST0007"/>
    <n v="911.17"/>
  </r>
  <r>
    <n v="1134"/>
    <x v="286"/>
    <x v="3"/>
    <s v="Accessories"/>
    <n v="452.81"/>
    <n v="2"/>
    <n v="0.23"/>
    <n v="0.18"/>
    <s v="West"/>
    <s v="CUST0095"/>
    <n v="905.62"/>
  </r>
  <r>
    <n v="1135"/>
    <x v="287"/>
    <x v="3"/>
    <s v="Accessories"/>
    <n v="166.07"/>
    <n v="2"/>
    <n v="0.02"/>
    <n v="0.25"/>
    <s v="West"/>
    <s v="CUST0118"/>
    <n v="332.14"/>
  </r>
  <r>
    <n v="1136"/>
    <x v="340"/>
    <x v="3"/>
    <s v="Accessories"/>
    <n v="832.3"/>
    <n v="2"/>
    <n v="0.16"/>
    <n v="0.17"/>
    <s v="East"/>
    <s v="CUST0055"/>
    <n v="1664.6"/>
  </r>
  <r>
    <n v="1137"/>
    <x v="59"/>
    <x v="3"/>
    <s v="Accessories"/>
    <n v="349.97"/>
    <n v="3"/>
    <n v="0.03"/>
    <n v="0.33"/>
    <s v="East"/>
    <s v="CUST0056"/>
    <n v="1049.9100000000001"/>
  </r>
  <r>
    <n v="1138"/>
    <x v="52"/>
    <x v="1"/>
    <s v="Accessories"/>
    <n v="1446.44"/>
    <n v="5"/>
    <n v="0.26"/>
    <n v="0.31"/>
    <s v="West"/>
    <s v="CUST0277"/>
    <n v="7232.2000000000007"/>
  </r>
  <r>
    <n v="1139"/>
    <x v="38"/>
    <x v="5"/>
    <s v="Electronics"/>
    <n v="1032.5899999999999"/>
    <n v="2"/>
    <n v="0.26"/>
    <n v="0.2"/>
    <s v="West"/>
    <s v="CUST0147"/>
    <n v="2065.1799999999998"/>
  </r>
  <r>
    <n v="1140"/>
    <x v="19"/>
    <x v="2"/>
    <s v="Accessories"/>
    <n v="883.04"/>
    <n v="4"/>
    <n v="0.24"/>
    <n v="0.15"/>
    <s v="South"/>
    <s v="CUST0080"/>
    <n v="3532.16"/>
  </r>
  <r>
    <n v="1141"/>
    <x v="178"/>
    <x v="1"/>
    <s v="Accessories"/>
    <n v="308.13"/>
    <n v="4"/>
    <n v="0.19"/>
    <n v="0.14000000000000001"/>
    <s v="North"/>
    <s v="CUST0116"/>
    <n v="1232.52"/>
  </r>
  <r>
    <n v="1142"/>
    <x v="34"/>
    <x v="1"/>
    <s v="Accessories"/>
    <n v="1271.33"/>
    <n v="4"/>
    <n v="0.2"/>
    <n v="0.19"/>
    <s v="South"/>
    <s v="CUST0037"/>
    <n v="5085.32"/>
  </r>
  <r>
    <n v="1143"/>
    <x v="38"/>
    <x v="4"/>
    <s v="Electronics"/>
    <n v="253.41"/>
    <n v="1"/>
    <n v="0.06"/>
    <n v="0.31"/>
    <s v="South"/>
    <s v="CUST0220"/>
    <n v="253.41"/>
  </r>
  <r>
    <n v="1144"/>
    <x v="38"/>
    <x v="5"/>
    <s v="Electronics"/>
    <n v="506.1"/>
    <n v="5"/>
    <n v="0.04"/>
    <n v="0.4"/>
    <s v="East"/>
    <s v="CUST0119"/>
    <n v="2530.5"/>
  </r>
  <r>
    <n v="1145"/>
    <x v="341"/>
    <x v="3"/>
    <s v="Accessories"/>
    <n v="1429.34"/>
    <n v="5"/>
    <n v="0.3"/>
    <n v="0.35"/>
    <s v="West"/>
    <s v="CUST0293"/>
    <n v="7146.7"/>
  </r>
  <r>
    <n v="1146"/>
    <x v="156"/>
    <x v="0"/>
    <s v="Electronics"/>
    <n v="55.99"/>
    <n v="1"/>
    <n v="0"/>
    <n v="0.21"/>
    <s v="West"/>
    <s v="CUST0152"/>
    <n v="55.99"/>
  </r>
  <r>
    <n v="1147"/>
    <x v="342"/>
    <x v="3"/>
    <s v="Accessories"/>
    <n v="1330.73"/>
    <n v="4"/>
    <n v="0.15"/>
    <n v="0.22"/>
    <s v="South"/>
    <s v="CUST0272"/>
    <n v="5322.92"/>
  </r>
  <r>
    <n v="1148"/>
    <x v="305"/>
    <x v="0"/>
    <s v="Electronics"/>
    <n v="597.26"/>
    <n v="3"/>
    <n v="0.04"/>
    <n v="0.38"/>
    <s v="North"/>
    <s v="CUST0144"/>
    <n v="1791.78"/>
  </r>
  <r>
    <n v="1149"/>
    <x v="20"/>
    <x v="0"/>
    <s v="Electronics"/>
    <n v="681.78"/>
    <n v="5"/>
    <n v="0.2"/>
    <n v="0.21"/>
    <s v="West"/>
    <s v="CUST0219"/>
    <n v="3408.8999999999996"/>
  </r>
  <r>
    <n v="1150"/>
    <x v="313"/>
    <x v="1"/>
    <s v="Accessories"/>
    <n v="657.25"/>
    <n v="5"/>
    <n v="0.1"/>
    <n v="0.31"/>
    <s v="North"/>
    <s v="CUST0072"/>
    <n v="3286.25"/>
  </r>
  <r>
    <n v="1151"/>
    <x v="228"/>
    <x v="2"/>
    <s v="Accessories"/>
    <n v="1387.41"/>
    <n v="3"/>
    <n v="0.06"/>
    <n v="0.34"/>
    <s v="South"/>
    <s v="CUST0224"/>
    <n v="4162.2300000000005"/>
  </r>
  <r>
    <n v="1152"/>
    <x v="123"/>
    <x v="1"/>
    <s v="Accessories"/>
    <n v="482.7"/>
    <n v="5"/>
    <n v="0.12"/>
    <n v="0.18"/>
    <s v="West"/>
    <s v="CUST0299"/>
    <n v="2413.5"/>
  </r>
  <r>
    <n v="1153"/>
    <x v="258"/>
    <x v="0"/>
    <s v="Electronics"/>
    <n v="1379.82"/>
    <n v="4"/>
    <n v="0.28999999999999998"/>
    <n v="0.21"/>
    <s v="East"/>
    <s v="CUST0033"/>
    <n v="5519.28"/>
  </r>
  <r>
    <n v="1154"/>
    <x v="131"/>
    <x v="1"/>
    <s v="Accessories"/>
    <n v="665.93"/>
    <n v="5"/>
    <n v="0.26"/>
    <n v="0.32"/>
    <s v="South"/>
    <s v="CUST0173"/>
    <n v="3329.6499999999996"/>
  </r>
  <r>
    <n v="1155"/>
    <x v="33"/>
    <x v="5"/>
    <s v="Electronics"/>
    <n v="989.04"/>
    <n v="2"/>
    <n v="0.23"/>
    <n v="0.22"/>
    <s v="East"/>
    <s v="CUST0197"/>
    <n v="1978.08"/>
  </r>
  <r>
    <n v="1156"/>
    <x v="110"/>
    <x v="4"/>
    <s v="Electronics"/>
    <n v="680.75"/>
    <n v="4"/>
    <n v="7.0000000000000007E-2"/>
    <n v="0.12"/>
    <s v="North"/>
    <s v="CUST0078"/>
    <n v="2723"/>
  </r>
  <r>
    <n v="1157"/>
    <x v="211"/>
    <x v="2"/>
    <s v="Accessories"/>
    <n v="451.63"/>
    <n v="1"/>
    <n v="0.05"/>
    <n v="0.21"/>
    <s v="North"/>
    <s v="CUST0016"/>
    <n v="451.63"/>
  </r>
  <r>
    <n v="1158"/>
    <x v="318"/>
    <x v="5"/>
    <s v="Electronics"/>
    <n v="109.65"/>
    <n v="3"/>
    <n v="0.17"/>
    <n v="0.3"/>
    <s v="West"/>
    <s v="CUST0239"/>
    <n v="328.95000000000005"/>
  </r>
  <r>
    <n v="1159"/>
    <x v="216"/>
    <x v="5"/>
    <s v="Electronics"/>
    <n v="906.77"/>
    <n v="4"/>
    <n v="0.21"/>
    <n v="0.22"/>
    <s v="South"/>
    <s v="CUST0081"/>
    <n v="3627.08"/>
  </r>
  <r>
    <n v="1160"/>
    <x v="62"/>
    <x v="2"/>
    <s v="Accessories"/>
    <n v="403.21"/>
    <n v="1"/>
    <n v="0.21"/>
    <n v="0.3"/>
    <s v="North"/>
    <s v="CUST0068"/>
    <n v="403.21"/>
  </r>
  <r>
    <n v="1161"/>
    <x v="149"/>
    <x v="4"/>
    <s v="Electronics"/>
    <n v="568.16999999999996"/>
    <n v="3"/>
    <n v="0.15"/>
    <n v="0.36"/>
    <s v="North"/>
    <s v="CUST0065"/>
    <n v="1704.5099999999998"/>
  </r>
  <r>
    <n v="1162"/>
    <x v="112"/>
    <x v="5"/>
    <s v="Electronics"/>
    <n v="1082.96"/>
    <n v="1"/>
    <n v="0.24"/>
    <n v="0.36"/>
    <s v="West"/>
    <s v="CUST0029"/>
    <n v="1082.96"/>
  </r>
  <r>
    <n v="1163"/>
    <x v="164"/>
    <x v="1"/>
    <s v="Accessories"/>
    <n v="1053.32"/>
    <n v="2"/>
    <n v="0.26"/>
    <n v="0.24"/>
    <s v="South"/>
    <s v="CUST0034"/>
    <n v="2106.64"/>
  </r>
  <r>
    <n v="1164"/>
    <x v="79"/>
    <x v="2"/>
    <s v="Accessories"/>
    <n v="188.95"/>
    <n v="5"/>
    <n v="0.13"/>
    <n v="0.36"/>
    <s v="North"/>
    <s v="CUST0063"/>
    <n v="944.75"/>
  </r>
  <r>
    <n v="1165"/>
    <x v="167"/>
    <x v="3"/>
    <s v="Accessories"/>
    <n v="1244.04"/>
    <n v="5"/>
    <n v="0.02"/>
    <n v="0.35"/>
    <s v="East"/>
    <s v="CUST0171"/>
    <n v="6220.2"/>
  </r>
  <r>
    <n v="1166"/>
    <x v="330"/>
    <x v="3"/>
    <s v="Accessories"/>
    <n v="781.11"/>
    <n v="1"/>
    <n v="0.14000000000000001"/>
    <n v="0.36"/>
    <s v="South"/>
    <s v="CUST0074"/>
    <n v="781.11"/>
  </r>
  <r>
    <n v="1167"/>
    <x v="117"/>
    <x v="2"/>
    <s v="Accessories"/>
    <n v="309.2"/>
    <n v="4"/>
    <n v="0.09"/>
    <n v="0.33"/>
    <s v="East"/>
    <s v="CUST0062"/>
    <n v="1236.8"/>
  </r>
  <r>
    <n v="1168"/>
    <x v="292"/>
    <x v="5"/>
    <s v="Electronics"/>
    <n v="322.07"/>
    <n v="1"/>
    <n v="0.05"/>
    <n v="0.2"/>
    <s v="South"/>
    <s v="CUST0196"/>
    <n v="322.07"/>
  </r>
  <r>
    <n v="1169"/>
    <x v="309"/>
    <x v="2"/>
    <s v="Accessories"/>
    <n v="1235.3"/>
    <n v="2"/>
    <n v="0.14000000000000001"/>
    <n v="0.2"/>
    <s v="West"/>
    <s v="CUST0196"/>
    <n v="2470.6"/>
  </r>
  <r>
    <n v="1170"/>
    <x v="281"/>
    <x v="5"/>
    <s v="Electronics"/>
    <n v="1339.43"/>
    <n v="2"/>
    <n v="0.08"/>
    <n v="0.21"/>
    <s v="North"/>
    <s v="CUST0275"/>
    <n v="2678.86"/>
  </r>
  <r>
    <n v="1171"/>
    <x v="218"/>
    <x v="4"/>
    <s v="Electronics"/>
    <n v="99.01"/>
    <n v="1"/>
    <n v="0.22"/>
    <n v="0.18"/>
    <s v="North"/>
    <s v="CUST0254"/>
    <n v="99.01"/>
  </r>
  <r>
    <n v="1172"/>
    <x v="335"/>
    <x v="0"/>
    <s v="Electronics"/>
    <n v="1154.6600000000001"/>
    <n v="1"/>
    <n v="0.01"/>
    <n v="0.33"/>
    <s v="West"/>
    <s v="CUST0232"/>
    <n v="1154.6600000000001"/>
  </r>
  <r>
    <n v="1173"/>
    <x v="131"/>
    <x v="5"/>
    <s v="Electronics"/>
    <n v="303.47000000000003"/>
    <n v="4"/>
    <n v="0.18"/>
    <n v="0.23"/>
    <s v="East"/>
    <s v="CUST0143"/>
    <n v="1213.8800000000001"/>
  </r>
  <r>
    <n v="1174"/>
    <x v="135"/>
    <x v="1"/>
    <s v="Accessories"/>
    <n v="453.13"/>
    <n v="2"/>
    <n v="0"/>
    <n v="0.33"/>
    <s v="South"/>
    <s v="CUST0200"/>
    <n v="906.26"/>
  </r>
  <r>
    <n v="1175"/>
    <x v="152"/>
    <x v="4"/>
    <s v="Electronics"/>
    <n v="863.44"/>
    <n v="3"/>
    <n v="0.16"/>
    <n v="0.24"/>
    <s v="East"/>
    <s v="CUST0182"/>
    <n v="2590.3200000000002"/>
  </r>
  <r>
    <n v="1176"/>
    <x v="0"/>
    <x v="2"/>
    <s v="Accessories"/>
    <n v="776.74"/>
    <n v="1"/>
    <n v="0.27"/>
    <n v="0.2"/>
    <s v="West"/>
    <s v="CUST0013"/>
    <n v="776.74"/>
  </r>
  <r>
    <n v="1177"/>
    <x v="148"/>
    <x v="0"/>
    <s v="Electronics"/>
    <n v="1419.42"/>
    <n v="4"/>
    <n v="0.14000000000000001"/>
    <n v="0.18"/>
    <s v="West"/>
    <s v="CUST0032"/>
    <n v="5677.68"/>
  </r>
  <r>
    <n v="1178"/>
    <x v="73"/>
    <x v="5"/>
    <s v="Electronics"/>
    <n v="412.51"/>
    <n v="5"/>
    <n v="0.17"/>
    <n v="0.18"/>
    <s v="South"/>
    <s v="CUST0006"/>
    <n v="2062.5500000000002"/>
  </r>
  <r>
    <n v="1179"/>
    <x v="194"/>
    <x v="5"/>
    <s v="Electronics"/>
    <n v="1239.8800000000001"/>
    <n v="1"/>
    <n v="0.3"/>
    <n v="0.12"/>
    <s v="East"/>
    <s v="CUST0134"/>
    <n v="1239.8800000000001"/>
  </r>
  <r>
    <n v="1180"/>
    <x v="327"/>
    <x v="5"/>
    <s v="Electronics"/>
    <n v="603.59"/>
    <n v="3"/>
    <n v="0.22"/>
    <n v="0.21"/>
    <s v="East"/>
    <s v="CUST0214"/>
    <n v="1810.77"/>
  </r>
  <r>
    <n v="1181"/>
    <x v="27"/>
    <x v="2"/>
    <s v="Accessories"/>
    <n v="134.63999999999999"/>
    <n v="4"/>
    <n v="0.03"/>
    <n v="0.19"/>
    <s v="South"/>
    <s v="CUST0159"/>
    <n v="538.55999999999995"/>
  </r>
  <r>
    <n v="1182"/>
    <x v="283"/>
    <x v="4"/>
    <s v="Electronics"/>
    <n v="518.95000000000005"/>
    <n v="5"/>
    <n v="0.1"/>
    <n v="0.34"/>
    <s v="North"/>
    <s v="CUST0083"/>
    <n v="2594.75"/>
  </r>
  <r>
    <n v="1183"/>
    <x v="48"/>
    <x v="3"/>
    <s v="Accessories"/>
    <n v="1408.02"/>
    <n v="2"/>
    <n v="0.28999999999999998"/>
    <n v="0.26"/>
    <s v="West"/>
    <s v="CUST0045"/>
    <n v="2816.04"/>
  </r>
  <r>
    <n v="1184"/>
    <x v="48"/>
    <x v="5"/>
    <s v="Electronics"/>
    <n v="60.46"/>
    <n v="2"/>
    <n v="0.13"/>
    <n v="0.31"/>
    <s v="North"/>
    <s v="CUST0078"/>
    <n v="120.92"/>
  </r>
  <r>
    <n v="1185"/>
    <x v="298"/>
    <x v="4"/>
    <s v="Electronics"/>
    <n v="339.38"/>
    <n v="2"/>
    <n v="0.09"/>
    <n v="0.26"/>
    <s v="East"/>
    <s v="CUST0089"/>
    <n v="678.76"/>
  </r>
  <r>
    <n v="1186"/>
    <x v="185"/>
    <x v="1"/>
    <s v="Accessories"/>
    <n v="1326.86"/>
    <n v="5"/>
    <n v="0.02"/>
    <n v="0.14000000000000001"/>
    <s v="South"/>
    <s v="CUST0069"/>
    <n v="6634.2999999999993"/>
  </r>
  <r>
    <n v="1187"/>
    <x v="90"/>
    <x v="0"/>
    <s v="Electronics"/>
    <n v="760.04"/>
    <n v="5"/>
    <n v="7.0000000000000007E-2"/>
    <n v="0.26"/>
    <s v="East"/>
    <s v="CUST0287"/>
    <n v="3800.2"/>
  </r>
  <r>
    <n v="1188"/>
    <x v="48"/>
    <x v="4"/>
    <s v="Electronics"/>
    <n v="460.75"/>
    <n v="2"/>
    <n v="0.3"/>
    <n v="0.28000000000000003"/>
    <s v="North"/>
    <s v="CUST0139"/>
    <n v="921.5"/>
  </r>
  <r>
    <n v="1189"/>
    <x v="108"/>
    <x v="1"/>
    <s v="Accessories"/>
    <n v="1281.47"/>
    <n v="3"/>
    <n v="0.05"/>
    <n v="0.22"/>
    <s v="South"/>
    <s v="CUST0114"/>
    <n v="3844.41"/>
  </r>
  <r>
    <n v="1190"/>
    <x v="307"/>
    <x v="5"/>
    <s v="Electronics"/>
    <n v="67.69"/>
    <n v="1"/>
    <n v="0.23"/>
    <n v="0.25"/>
    <s v="East"/>
    <s v="CUST0047"/>
    <n v="67.69"/>
  </r>
  <r>
    <n v="1191"/>
    <x v="236"/>
    <x v="1"/>
    <s v="Accessories"/>
    <n v="1200.05"/>
    <n v="5"/>
    <n v="0.24"/>
    <n v="0.17"/>
    <s v="South"/>
    <s v="CUST0151"/>
    <n v="6000.25"/>
  </r>
  <r>
    <n v="1192"/>
    <x v="57"/>
    <x v="2"/>
    <s v="Accessories"/>
    <n v="769.14"/>
    <n v="3"/>
    <n v="0"/>
    <n v="0.28999999999999998"/>
    <s v="North"/>
    <s v="CUST0142"/>
    <n v="2307.42"/>
  </r>
  <r>
    <n v="1193"/>
    <x v="96"/>
    <x v="5"/>
    <s v="Electronics"/>
    <n v="682.14"/>
    <n v="3"/>
    <n v="0.21"/>
    <n v="0.3"/>
    <s v="East"/>
    <s v="CUST0248"/>
    <n v="2046.42"/>
  </r>
  <r>
    <n v="1194"/>
    <x v="128"/>
    <x v="5"/>
    <s v="Electronics"/>
    <n v="1305.27"/>
    <n v="2"/>
    <n v="0.11"/>
    <n v="0.13"/>
    <s v="East"/>
    <s v="CUST0224"/>
    <n v="2610.54"/>
  </r>
  <r>
    <n v="1195"/>
    <x v="33"/>
    <x v="5"/>
    <s v="Electronics"/>
    <n v="412.17"/>
    <n v="1"/>
    <n v="0.26"/>
    <n v="0.17"/>
    <s v="South"/>
    <s v="CUST0119"/>
    <n v="412.17"/>
  </r>
  <r>
    <n v="1196"/>
    <x v="123"/>
    <x v="0"/>
    <s v="Electronics"/>
    <n v="909.41"/>
    <n v="2"/>
    <n v="7.0000000000000007E-2"/>
    <n v="0.2"/>
    <s v="West"/>
    <s v="CUST0146"/>
    <n v="1818.82"/>
  </r>
  <r>
    <n v="1197"/>
    <x v="293"/>
    <x v="5"/>
    <s v="Electronics"/>
    <n v="1260.24"/>
    <n v="1"/>
    <n v="0.27"/>
    <n v="0.15"/>
    <s v="East"/>
    <s v="CUST0249"/>
    <n v="1260.24"/>
  </r>
  <r>
    <n v="1198"/>
    <x v="244"/>
    <x v="2"/>
    <s v="Accessories"/>
    <n v="1039.46"/>
    <n v="4"/>
    <n v="7.0000000000000007E-2"/>
    <n v="0.13"/>
    <s v="North"/>
    <s v="CUST0146"/>
    <n v="4157.84"/>
  </r>
  <r>
    <n v="1199"/>
    <x v="59"/>
    <x v="1"/>
    <s v="Accessories"/>
    <n v="229.98"/>
    <n v="1"/>
    <n v="0.01"/>
    <n v="0.38"/>
    <s v="South"/>
    <s v="CUST0237"/>
    <n v="229.98"/>
  </r>
  <r>
    <n v="1200"/>
    <x v="337"/>
    <x v="5"/>
    <s v="Electronics"/>
    <n v="308.58"/>
    <n v="4"/>
    <n v="0.28999999999999998"/>
    <n v="0.22"/>
    <s v="North"/>
    <s v="CUST0237"/>
    <n v="1234.32"/>
  </r>
  <r>
    <n v="1201"/>
    <x v="302"/>
    <x v="0"/>
    <s v="Electronics"/>
    <n v="795.68"/>
    <n v="4"/>
    <n v="0.3"/>
    <n v="0.17"/>
    <s v="South"/>
    <s v="CUST0216"/>
    <n v="3182.72"/>
  </r>
  <r>
    <n v="1202"/>
    <x v="240"/>
    <x v="3"/>
    <s v="Accessories"/>
    <n v="28.99"/>
    <n v="3"/>
    <n v="0.18"/>
    <n v="0.13"/>
    <s v="West"/>
    <s v="CUST0105"/>
    <n v="86.97"/>
  </r>
  <r>
    <n v="1203"/>
    <x v="284"/>
    <x v="5"/>
    <s v="Electronics"/>
    <n v="36.46"/>
    <n v="2"/>
    <n v="0.18"/>
    <n v="0.32"/>
    <s v="West"/>
    <s v="CUST0136"/>
    <n v="72.92"/>
  </r>
  <r>
    <n v="1204"/>
    <x v="203"/>
    <x v="4"/>
    <s v="Electronics"/>
    <n v="1038.6099999999999"/>
    <n v="2"/>
    <n v="0.13"/>
    <n v="0.19"/>
    <s v="West"/>
    <s v="CUST0190"/>
    <n v="2077.2199999999998"/>
  </r>
  <r>
    <n v="1205"/>
    <x v="73"/>
    <x v="2"/>
    <s v="Accessories"/>
    <n v="222.32"/>
    <n v="2"/>
    <n v="0.04"/>
    <n v="0.12"/>
    <s v="East"/>
    <s v="CUST0010"/>
    <n v="444.64"/>
  </r>
  <r>
    <n v="1206"/>
    <x v="309"/>
    <x v="4"/>
    <s v="Electronics"/>
    <n v="538.04"/>
    <n v="5"/>
    <n v="0.16"/>
    <n v="0.14000000000000001"/>
    <s v="South"/>
    <s v="CUST0275"/>
    <n v="2690.2"/>
  </r>
  <r>
    <n v="1207"/>
    <x v="265"/>
    <x v="2"/>
    <s v="Accessories"/>
    <n v="1080.1600000000001"/>
    <n v="4"/>
    <n v="0.06"/>
    <n v="0.22"/>
    <s v="West"/>
    <s v="CUST0033"/>
    <n v="4320.6400000000003"/>
  </r>
  <r>
    <n v="1208"/>
    <x v="104"/>
    <x v="4"/>
    <s v="Electronics"/>
    <n v="775.97"/>
    <n v="5"/>
    <n v="0.12"/>
    <n v="0.39"/>
    <s v="North"/>
    <s v="CUST0283"/>
    <n v="3879.8500000000004"/>
  </r>
  <r>
    <n v="1209"/>
    <x v="273"/>
    <x v="5"/>
    <s v="Electronics"/>
    <n v="680.48"/>
    <n v="5"/>
    <n v="0.02"/>
    <n v="0.2"/>
    <s v="North"/>
    <s v="CUST0270"/>
    <n v="3402.4"/>
  </r>
  <r>
    <n v="1210"/>
    <x v="343"/>
    <x v="2"/>
    <s v="Accessories"/>
    <n v="771.24"/>
    <n v="5"/>
    <n v="0.26"/>
    <n v="0.35"/>
    <s v="West"/>
    <s v="CUST0158"/>
    <n v="3856.2"/>
  </r>
  <r>
    <n v="1211"/>
    <x v="333"/>
    <x v="2"/>
    <s v="Accessories"/>
    <n v="975.62"/>
    <n v="4"/>
    <n v="0.09"/>
    <n v="0.12"/>
    <s v="North"/>
    <s v="CUST0169"/>
    <n v="3902.48"/>
  </r>
  <r>
    <n v="1212"/>
    <x v="3"/>
    <x v="5"/>
    <s v="Electronics"/>
    <n v="39.5"/>
    <n v="4"/>
    <n v="7.0000000000000007E-2"/>
    <n v="0.15"/>
    <s v="East"/>
    <s v="CUST0242"/>
    <n v="158"/>
  </r>
  <r>
    <n v="1213"/>
    <x v="183"/>
    <x v="4"/>
    <s v="Electronics"/>
    <n v="473.54"/>
    <n v="3"/>
    <n v="0.09"/>
    <n v="0.23"/>
    <s v="West"/>
    <s v="CUST0070"/>
    <n v="1420.6200000000001"/>
  </r>
  <r>
    <n v="1214"/>
    <x v="269"/>
    <x v="3"/>
    <s v="Accessories"/>
    <n v="1366.87"/>
    <n v="5"/>
    <n v="7.0000000000000007E-2"/>
    <n v="0.3"/>
    <s v="North"/>
    <s v="CUST0062"/>
    <n v="6834.3499999999995"/>
  </r>
  <r>
    <n v="1215"/>
    <x v="69"/>
    <x v="5"/>
    <s v="Electronics"/>
    <n v="808.93"/>
    <n v="2"/>
    <n v="0.05"/>
    <n v="0.33"/>
    <s v="East"/>
    <s v="CUST0114"/>
    <n v="1617.86"/>
  </r>
  <r>
    <n v="1216"/>
    <x v="344"/>
    <x v="0"/>
    <s v="Electronics"/>
    <n v="864.71"/>
    <n v="3"/>
    <n v="0.14000000000000001"/>
    <n v="0.2"/>
    <s v="East"/>
    <s v="CUST0139"/>
    <n v="2594.13"/>
  </r>
  <r>
    <n v="1217"/>
    <x v="11"/>
    <x v="1"/>
    <s v="Accessories"/>
    <n v="1090.27"/>
    <n v="5"/>
    <n v="0.17"/>
    <n v="0.28999999999999998"/>
    <s v="East"/>
    <s v="CUST0005"/>
    <n v="5451.35"/>
  </r>
  <r>
    <n v="1218"/>
    <x v="345"/>
    <x v="5"/>
    <s v="Electronics"/>
    <n v="680.83"/>
    <n v="3"/>
    <n v="0.13"/>
    <n v="0.19"/>
    <s v="North"/>
    <s v="CUST0086"/>
    <n v="2042.4900000000002"/>
  </r>
  <r>
    <n v="1219"/>
    <x v="216"/>
    <x v="3"/>
    <s v="Accessories"/>
    <n v="293.10000000000002"/>
    <n v="4"/>
    <n v="0.1"/>
    <n v="0.18"/>
    <s v="East"/>
    <s v="CUST0114"/>
    <n v="1172.4000000000001"/>
  </r>
  <r>
    <n v="1220"/>
    <x v="294"/>
    <x v="5"/>
    <s v="Electronics"/>
    <n v="464.48"/>
    <n v="5"/>
    <n v="0.26"/>
    <n v="0.31"/>
    <s v="West"/>
    <s v="CUST0247"/>
    <n v="2322.4"/>
  </r>
  <r>
    <n v="1221"/>
    <x v="108"/>
    <x v="5"/>
    <s v="Electronics"/>
    <n v="941.13"/>
    <n v="2"/>
    <n v="0.27"/>
    <n v="0.28999999999999998"/>
    <s v="West"/>
    <s v="CUST0252"/>
    <n v="1882.26"/>
  </r>
  <r>
    <n v="1222"/>
    <x v="16"/>
    <x v="2"/>
    <s v="Accessories"/>
    <n v="974.76"/>
    <n v="5"/>
    <n v="0.15"/>
    <n v="0.33"/>
    <s v="South"/>
    <s v="CUST0152"/>
    <n v="4873.8"/>
  </r>
  <r>
    <n v="1223"/>
    <x v="141"/>
    <x v="1"/>
    <s v="Accessories"/>
    <n v="701.09"/>
    <n v="5"/>
    <n v="0.01"/>
    <n v="0.28999999999999998"/>
    <s v="East"/>
    <s v="CUST0008"/>
    <n v="3505.4500000000003"/>
  </r>
  <r>
    <n v="1224"/>
    <x v="125"/>
    <x v="2"/>
    <s v="Accessories"/>
    <n v="666.65"/>
    <n v="2"/>
    <n v="0.08"/>
    <n v="0.23"/>
    <s v="South"/>
    <s v="CUST0056"/>
    <n v="1333.3"/>
  </r>
  <r>
    <n v="1225"/>
    <x v="99"/>
    <x v="3"/>
    <s v="Accessories"/>
    <n v="1197.6400000000001"/>
    <n v="1"/>
    <n v="0.03"/>
    <n v="0.28000000000000003"/>
    <s v="North"/>
    <s v="CUST0007"/>
    <n v="1197.6400000000001"/>
  </r>
  <r>
    <n v="1226"/>
    <x v="329"/>
    <x v="1"/>
    <s v="Accessories"/>
    <n v="1318.76"/>
    <n v="5"/>
    <n v="0.14000000000000001"/>
    <n v="0.13"/>
    <s v="East"/>
    <s v="CUST0234"/>
    <n v="6593.8"/>
  </r>
  <r>
    <n v="1227"/>
    <x v="60"/>
    <x v="1"/>
    <s v="Accessories"/>
    <n v="1305.3"/>
    <n v="5"/>
    <n v="0.22"/>
    <n v="0.28999999999999998"/>
    <s v="East"/>
    <s v="CUST0221"/>
    <n v="6526.5"/>
  </r>
  <r>
    <n v="1228"/>
    <x v="247"/>
    <x v="4"/>
    <s v="Electronics"/>
    <n v="190.79"/>
    <n v="3"/>
    <n v="7.0000000000000007E-2"/>
    <n v="0.23"/>
    <s v="North"/>
    <s v="CUST0122"/>
    <n v="572.37"/>
  </r>
  <r>
    <n v="1229"/>
    <x v="31"/>
    <x v="1"/>
    <s v="Accessories"/>
    <n v="408.57"/>
    <n v="5"/>
    <n v="0.28000000000000003"/>
    <n v="0.28000000000000003"/>
    <s v="West"/>
    <s v="CUST0034"/>
    <n v="2042.85"/>
  </r>
  <r>
    <n v="1230"/>
    <x v="251"/>
    <x v="1"/>
    <s v="Accessories"/>
    <n v="1072.77"/>
    <n v="3"/>
    <n v="0.22"/>
    <n v="0.18"/>
    <s v="West"/>
    <s v="CUST0017"/>
    <n v="3218.31"/>
  </r>
  <r>
    <n v="1231"/>
    <x v="172"/>
    <x v="2"/>
    <s v="Accessories"/>
    <n v="276.64"/>
    <n v="4"/>
    <n v="0.14000000000000001"/>
    <n v="0.34"/>
    <s v="South"/>
    <s v="CUST0280"/>
    <n v="1106.56"/>
  </r>
  <r>
    <n v="1232"/>
    <x v="0"/>
    <x v="1"/>
    <s v="Accessories"/>
    <n v="1397.74"/>
    <n v="1"/>
    <n v="0.3"/>
    <n v="0.12"/>
    <s v="North"/>
    <s v="CUST0210"/>
    <n v="1397.74"/>
  </r>
  <r>
    <n v="1233"/>
    <x v="233"/>
    <x v="5"/>
    <s v="Electronics"/>
    <n v="626.65"/>
    <n v="2"/>
    <n v="0.02"/>
    <n v="0.35"/>
    <s v="North"/>
    <s v="CUST0083"/>
    <n v="1253.3"/>
  </r>
  <r>
    <n v="1234"/>
    <x v="190"/>
    <x v="4"/>
    <s v="Electronics"/>
    <n v="1322"/>
    <n v="3"/>
    <n v="0.16"/>
    <n v="0.18"/>
    <s v="North"/>
    <s v="CUST0053"/>
    <n v="3966"/>
  </r>
  <r>
    <n v="1235"/>
    <x v="146"/>
    <x v="0"/>
    <s v="Electronics"/>
    <n v="1133.9000000000001"/>
    <n v="4"/>
    <n v="0.01"/>
    <n v="0.21"/>
    <s v="South"/>
    <s v="CUST0071"/>
    <n v="4535.6000000000004"/>
  </r>
  <r>
    <n v="1236"/>
    <x v="333"/>
    <x v="2"/>
    <s v="Accessories"/>
    <n v="119.75"/>
    <n v="5"/>
    <n v="0.14000000000000001"/>
    <n v="0.12"/>
    <s v="South"/>
    <s v="CUST0001"/>
    <n v="598.75"/>
  </r>
  <r>
    <n v="1237"/>
    <x v="93"/>
    <x v="5"/>
    <s v="Electronics"/>
    <n v="708.84"/>
    <n v="5"/>
    <n v="0.28000000000000003"/>
    <n v="0.18"/>
    <s v="East"/>
    <s v="CUST0085"/>
    <n v="3544.2000000000003"/>
  </r>
  <r>
    <n v="1238"/>
    <x v="32"/>
    <x v="1"/>
    <s v="Accessories"/>
    <n v="799.84"/>
    <n v="1"/>
    <n v="0.1"/>
    <n v="0.37"/>
    <s v="South"/>
    <s v="CUST0242"/>
    <n v="799.84"/>
  </r>
  <r>
    <n v="1239"/>
    <x v="116"/>
    <x v="3"/>
    <s v="Accessories"/>
    <n v="1031.7"/>
    <n v="5"/>
    <n v="0.21"/>
    <n v="0.19"/>
    <s v="West"/>
    <s v="CUST0169"/>
    <n v="5158.5"/>
  </r>
  <r>
    <n v="1240"/>
    <x v="104"/>
    <x v="5"/>
    <s v="Electronics"/>
    <n v="490.61"/>
    <n v="3"/>
    <n v="0.03"/>
    <n v="0.1"/>
    <s v="East"/>
    <s v="CUST0224"/>
    <n v="1471.83"/>
  </r>
  <r>
    <n v="1241"/>
    <x v="229"/>
    <x v="5"/>
    <s v="Electronics"/>
    <n v="1307.8"/>
    <n v="5"/>
    <n v="0.13"/>
    <n v="0.24"/>
    <s v="West"/>
    <s v="CUST0152"/>
    <n v="6539"/>
  </r>
  <r>
    <n v="1242"/>
    <x v="92"/>
    <x v="4"/>
    <s v="Electronics"/>
    <n v="1307.29"/>
    <n v="3"/>
    <n v="0.25"/>
    <n v="0.17"/>
    <s v="North"/>
    <s v="CUST0097"/>
    <n v="3921.87"/>
  </r>
  <r>
    <n v="1243"/>
    <x v="216"/>
    <x v="0"/>
    <s v="Electronics"/>
    <n v="1262.29"/>
    <n v="3"/>
    <n v="0.11"/>
    <n v="0.23"/>
    <s v="North"/>
    <s v="CUST0044"/>
    <n v="3786.87"/>
  </r>
  <r>
    <n v="1244"/>
    <x v="98"/>
    <x v="2"/>
    <s v="Accessories"/>
    <n v="308.93"/>
    <n v="5"/>
    <n v="0.08"/>
    <n v="0.28999999999999998"/>
    <s v="West"/>
    <s v="CUST0297"/>
    <n v="1544.65"/>
  </r>
  <r>
    <n v="1245"/>
    <x v="115"/>
    <x v="4"/>
    <s v="Electronics"/>
    <n v="1146.05"/>
    <n v="4"/>
    <n v="0.15"/>
    <n v="0.28000000000000003"/>
    <s v="West"/>
    <s v="CUST0009"/>
    <n v="4584.2"/>
  </r>
  <r>
    <n v="1246"/>
    <x v="340"/>
    <x v="0"/>
    <s v="Electronics"/>
    <n v="802.4"/>
    <n v="1"/>
    <n v="0.03"/>
    <n v="0.33"/>
    <s v="West"/>
    <s v="CUST0029"/>
    <n v="802.4"/>
  </r>
  <r>
    <n v="1247"/>
    <x v="57"/>
    <x v="5"/>
    <s v="Electronics"/>
    <n v="1097.99"/>
    <n v="4"/>
    <n v="0.06"/>
    <n v="0.16"/>
    <s v="North"/>
    <s v="CUST0177"/>
    <n v="4391.96"/>
  </r>
  <r>
    <n v="1248"/>
    <x v="228"/>
    <x v="1"/>
    <s v="Accessories"/>
    <n v="1423"/>
    <n v="1"/>
    <n v="0.25"/>
    <n v="0.11"/>
    <s v="South"/>
    <s v="CUST0208"/>
    <n v="1423"/>
  </r>
  <r>
    <n v="1249"/>
    <x v="294"/>
    <x v="3"/>
    <s v="Accessories"/>
    <n v="324.20999999999998"/>
    <n v="5"/>
    <n v="0.1"/>
    <n v="0.2"/>
    <s v="East"/>
    <s v="CUST0008"/>
    <n v="1621.05"/>
  </r>
  <r>
    <n v="1250"/>
    <x v="65"/>
    <x v="5"/>
    <s v="Electronics"/>
    <n v="429.46"/>
    <n v="2"/>
    <n v="0.13"/>
    <n v="0.18"/>
    <s v="South"/>
    <s v="CUST0032"/>
    <n v="858.92"/>
  </r>
  <r>
    <n v="1251"/>
    <x v="93"/>
    <x v="4"/>
    <s v="Electronics"/>
    <n v="1080.54"/>
    <n v="5"/>
    <n v="0.2"/>
    <n v="0.16"/>
    <s v="East"/>
    <s v="CUST0215"/>
    <n v="5402.7"/>
  </r>
  <r>
    <n v="1252"/>
    <x v="249"/>
    <x v="0"/>
    <s v="Electronics"/>
    <n v="443.6"/>
    <n v="2"/>
    <n v="0.04"/>
    <n v="0.3"/>
    <s v="East"/>
    <s v="CUST0191"/>
    <n v="887.2"/>
  </r>
  <r>
    <n v="1253"/>
    <x v="133"/>
    <x v="0"/>
    <s v="Electronics"/>
    <n v="139.18"/>
    <n v="2"/>
    <n v="0.06"/>
    <n v="0.13"/>
    <s v="West"/>
    <s v="CUST0241"/>
    <n v="278.36"/>
  </r>
  <r>
    <n v="1254"/>
    <x v="96"/>
    <x v="2"/>
    <s v="Accessories"/>
    <n v="913.33"/>
    <n v="2"/>
    <n v="0.19"/>
    <n v="0.33"/>
    <s v="North"/>
    <s v="CUST0288"/>
    <n v="1826.66"/>
  </r>
  <r>
    <n v="1255"/>
    <x v="334"/>
    <x v="1"/>
    <s v="Accessories"/>
    <n v="1255.83"/>
    <n v="4"/>
    <n v="0.2"/>
    <n v="0.25"/>
    <s v="South"/>
    <s v="CUST0273"/>
    <n v="5023.32"/>
  </r>
  <r>
    <n v="1256"/>
    <x v="87"/>
    <x v="2"/>
    <s v="Accessories"/>
    <n v="447.05"/>
    <n v="1"/>
    <n v="0.01"/>
    <n v="0.23"/>
    <s v="East"/>
    <s v="CUST0265"/>
    <n v="447.05"/>
  </r>
  <r>
    <n v="1257"/>
    <x v="25"/>
    <x v="1"/>
    <s v="Accessories"/>
    <n v="74.3"/>
    <n v="1"/>
    <n v="0.05"/>
    <n v="0.31"/>
    <s v="North"/>
    <s v="CUST0138"/>
    <n v="74.3"/>
  </r>
  <r>
    <n v="1258"/>
    <x v="334"/>
    <x v="5"/>
    <s v="Electronics"/>
    <n v="346.15"/>
    <n v="4"/>
    <n v="0.01"/>
    <n v="0.25"/>
    <s v="East"/>
    <s v="CUST0256"/>
    <n v="1384.6"/>
  </r>
  <r>
    <n v="1259"/>
    <x v="167"/>
    <x v="1"/>
    <s v="Accessories"/>
    <n v="237.75"/>
    <n v="3"/>
    <n v="0.28999999999999998"/>
    <n v="0.17"/>
    <s v="North"/>
    <s v="CUST0094"/>
    <n v="713.25"/>
  </r>
  <r>
    <n v="1260"/>
    <x v="115"/>
    <x v="0"/>
    <s v="Electronics"/>
    <n v="1136.74"/>
    <n v="3"/>
    <n v="7.0000000000000007E-2"/>
    <n v="0.15"/>
    <s v="North"/>
    <s v="CUST0287"/>
    <n v="3410.2200000000003"/>
  </r>
  <r>
    <n v="1261"/>
    <x v="53"/>
    <x v="4"/>
    <s v="Electronics"/>
    <n v="542.4"/>
    <n v="1"/>
    <n v="0.23"/>
    <n v="0.19"/>
    <s v="East"/>
    <s v="CUST0189"/>
    <n v="542.4"/>
  </r>
  <r>
    <n v="1262"/>
    <x v="170"/>
    <x v="4"/>
    <s v="Electronics"/>
    <n v="1393.82"/>
    <n v="5"/>
    <n v="0.3"/>
    <n v="0.19"/>
    <s v="North"/>
    <s v="CUST0045"/>
    <n v="6969.0999999999995"/>
  </r>
  <r>
    <n v="1263"/>
    <x v="104"/>
    <x v="5"/>
    <s v="Electronics"/>
    <n v="1361.55"/>
    <n v="2"/>
    <n v="0.17"/>
    <n v="0.18"/>
    <s v="West"/>
    <s v="CUST0217"/>
    <n v="2723.1"/>
  </r>
  <r>
    <n v="1264"/>
    <x v="192"/>
    <x v="2"/>
    <s v="Accessories"/>
    <n v="406.97"/>
    <n v="1"/>
    <n v="0.27"/>
    <n v="0.13"/>
    <s v="North"/>
    <s v="CUST0082"/>
    <n v="406.97"/>
  </r>
  <r>
    <n v="1265"/>
    <x v="103"/>
    <x v="3"/>
    <s v="Accessories"/>
    <n v="328.29"/>
    <n v="4"/>
    <n v="0.16"/>
    <n v="0.31"/>
    <s v="West"/>
    <s v="CUST0096"/>
    <n v="1313.16"/>
  </r>
  <r>
    <n v="1266"/>
    <x v="262"/>
    <x v="0"/>
    <s v="Electronics"/>
    <n v="1023.31"/>
    <n v="1"/>
    <n v="0.14000000000000001"/>
    <n v="0.12"/>
    <s v="North"/>
    <s v="CUST0043"/>
    <n v="1023.31"/>
  </r>
  <r>
    <n v="1267"/>
    <x v="266"/>
    <x v="2"/>
    <s v="Accessories"/>
    <n v="162.19999999999999"/>
    <n v="1"/>
    <n v="0.17"/>
    <n v="0.25"/>
    <s v="East"/>
    <s v="CUST0227"/>
    <n v="162.19999999999999"/>
  </r>
  <r>
    <n v="1268"/>
    <x v="94"/>
    <x v="0"/>
    <s v="Electronics"/>
    <n v="1198.48"/>
    <n v="3"/>
    <n v="0.04"/>
    <n v="0.28999999999999998"/>
    <s v="West"/>
    <s v="CUST0162"/>
    <n v="3595.44"/>
  </r>
  <r>
    <n v="1269"/>
    <x v="45"/>
    <x v="3"/>
    <s v="Accessories"/>
    <n v="168.97"/>
    <n v="4"/>
    <n v="0.03"/>
    <n v="0.17"/>
    <s v="West"/>
    <s v="CUST0126"/>
    <n v="675.88"/>
  </r>
  <r>
    <n v="1270"/>
    <x v="170"/>
    <x v="3"/>
    <s v="Accessories"/>
    <n v="564.70000000000005"/>
    <n v="2"/>
    <n v="0.2"/>
    <n v="0.3"/>
    <s v="North"/>
    <s v="CUST0196"/>
    <n v="1129.4000000000001"/>
  </r>
  <r>
    <n v="1271"/>
    <x v="69"/>
    <x v="1"/>
    <s v="Accessories"/>
    <n v="51.06"/>
    <n v="5"/>
    <n v="0.01"/>
    <n v="0.24"/>
    <s v="South"/>
    <s v="CUST0065"/>
    <n v="255.3"/>
  </r>
  <r>
    <n v="1272"/>
    <x v="258"/>
    <x v="3"/>
    <s v="Accessories"/>
    <n v="778.02"/>
    <n v="3"/>
    <n v="0.25"/>
    <n v="0.4"/>
    <s v="West"/>
    <s v="CUST0242"/>
    <n v="2334.06"/>
  </r>
  <r>
    <n v="1273"/>
    <x v="250"/>
    <x v="1"/>
    <s v="Accessories"/>
    <n v="295.55"/>
    <n v="3"/>
    <n v="0.21"/>
    <n v="0.17"/>
    <s v="South"/>
    <s v="CUST0031"/>
    <n v="886.65000000000009"/>
  </r>
  <r>
    <n v="1274"/>
    <x v="346"/>
    <x v="0"/>
    <s v="Electronics"/>
    <n v="182.87"/>
    <n v="3"/>
    <n v="0.26"/>
    <n v="0.35"/>
    <s v="North"/>
    <s v="CUST0058"/>
    <n v="548.61"/>
  </r>
  <r>
    <n v="1275"/>
    <x v="61"/>
    <x v="2"/>
    <s v="Accessories"/>
    <n v="746.63"/>
    <n v="4"/>
    <n v="0.09"/>
    <n v="0.33"/>
    <s v="South"/>
    <s v="CUST0249"/>
    <n v="2986.52"/>
  </r>
  <r>
    <n v="1276"/>
    <x v="317"/>
    <x v="1"/>
    <s v="Accessories"/>
    <n v="687.68"/>
    <n v="3"/>
    <n v="0.05"/>
    <n v="0.36"/>
    <s v="West"/>
    <s v="CUST0148"/>
    <n v="2063.04"/>
  </r>
  <r>
    <n v="1277"/>
    <x v="335"/>
    <x v="5"/>
    <s v="Electronics"/>
    <n v="945.57"/>
    <n v="4"/>
    <n v="0.02"/>
    <n v="0.18"/>
    <s v="West"/>
    <s v="CUST0100"/>
    <n v="3782.28"/>
  </r>
  <r>
    <n v="1278"/>
    <x v="187"/>
    <x v="3"/>
    <s v="Accessories"/>
    <n v="30.46"/>
    <n v="2"/>
    <n v="0.22"/>
    <n v="0.18"/>
    <s v="East"/>
    <s v="CUST0097"/>
    <n v="60.92"/>
  </r>
  <r>
    <n v="1279"/>
    <x v="163"/>
    <x v="4"/>
    <s v="Electronics"/>
    <n v="1192.26"/>
    <n v="5"/>
    <n v="0.09"/>
    <n v="0.24"/>
    <s v="East"/>
    <s v="CUST0001"/>
    <n v="5961.3"/>
  </r>
  <r>
    <n v="1280"/>
    <x v="18"/>
    <x v="2"/>
    <s v="Accessories"/>
    <n v="1349.77"/>
    <n v="3"/>
    <n v="0.2"/>
    <n v="0.22"/>
    <s v="West"/>
    <s v="CUST0285"/>
    <n v="4049.31"/>
  </r>
  <r>
    <n v="1281"/>
    <x v="319"/>
    <x v="2"/>
    <s v="Accessories"/>
    <n v="281.58999999999997"/>
    <n v="5"/>
    <n v="0.17"/>
    <n v="0.37"/>
    <s v="South"/>
    <s v="CUST0140"/>
    <n v="1407.9499999999998"/>
  </r>
  <r>
    <n v="1282"/>
    <x v="325"/>
    <x v="0"/>
    <s v="Electronics"/>
    <n v="1234.02"/>
    <n v="1"/>
    <n v="0.24"/>
    <n v="0.12"/>
    <s v="East"/>
    <s v="CUST0002"/>
    <n v="1234.02"/>
  </r>
  <r>
    <n v="1283"/>
    <x v="110"/>
    <x v="1"/>
    <s v="Accessories"/>
    <n v="1449.04"/>
    <n v="5"/>
    <n v="0.03"/>
    <n v="0.33"/>
    <s v="South"/>
    <s v="CUST0224"/>
    <n v="7245.2"/>
  </r>
  <r>
    <n v="1284"/>
    <x v="133"/>
    <x v="0"/>
    <s v="Electronics"/>
    <n v="1466.72"/>
    <n v="1"/>
    <n v="0.02"/>
    <n v="0.32"/>
    <s v="West"/>
    <s v="CUST0265"/>
    <n v="1466.72"/>
  </r>
  <r>
    <n v="1285"/>
    <x v="72"/>
    <x v="0"/>
    <s v="Electronics"/>
    <n v="172.73"/>
    <n v="4"/>
    <n v="0.23"/>
    <n v="0.16"/>
    <s v="North"/>
    <s v="CUST0181"/>
    <n v="690.92"/>
  </r>
  <r>
    <n v="1286"/>
    <x v="296"/>
    <x v="5"/>
    <s v="Electronics"/>
    <n v="155.38999999999999"/>
    <n v="2"/>
    <n v="0.12"/>
    <n v="0.23"/>
    <s v="South"/>
    <s v="CUST0076"/>
    <n v="310.77999999999997"/>
  </r>
  <r>
    <n v="1287"/>
    <x v="321"/>
    <x v="3"/>
    <s v="Accessories"/>
    <n v="638.84"/>
    <n v="5"/>
    <n v="0.27"/>
    <n v="0.14000000000000001"/>
    <s v="West"/>
    <s v="CUST0103"/>
    <n v="3194.2000000000003"/>
  </r>
  <r>
    <n v="1288"/>
    <x v="247"/>
    <x v="1"/>
    <s v="Accessories"/>
    <n v="128.35"/>
    <n v="1"/>
    <n v="0.2"/>
    <n v="0.32"/>
    <s v="East"/>
    <s v="CUST0227"/>
    <n v="128.35"/>
  </r>
  <r>
    <n v="1289"/>
    <x v="61"/>
    <x v="2"/>
    <s v="Accessories"/>
    <n v="1394.93"/>
    <n v="2"/>
    <n v="0.09"/>
    <n v="0.24"/>
    <s v="East"/>
    <s v="CUST0146"/>
    <n v="2789.86"/>
  </r>
  <r>
    <n v="1290"/>
    <x v="262"/>
    <x v="2"/>
    <s v="Accessories"/>
    <n v="1070.1600000000001"/>
    <n v="3"/>
    <n v="0.11"/>
    <n v="0.33"/>
    <s v="South"/>
    <s v="CUST0052"/>
    <n v="3210.4800000000005"/>
  </r>
  <r>
    <n v="1291"/>
    <x v="84"/>
    <x v="5"/>
    <s v="Electronics"/>
    <n v="129.28"/>
    <n v="3"/>
    <n v="0.3"/>
    <n v="0.24"/>
    <s v="North"/>
    <s v="CUST0217"/>
    <n v="387.84000000000003"/>
  </r>
  <r>
    <n v="1292"/>
    <x v="66"/>
    <x v="3"/>
    <s v="Accessories"/>
    <n v="1291.93"/>
    <n v="3"/>
    <n v="0.12"/>
    <n v="0.37"/>
    <s v="West"/>
    <s v="CUST0241"/>
    <n v="3875.79"/>
  </r>
  <r>
    <n v="1293"/>
    <x v="120"/>
    <x v="4"/>
    <s v="Electronics"/>
    <n v="631.14"/>
    <n v="2"/>
    <n v="7.0000000000000007E-2"/>
    <n v="0.37"/>
    <s v="East"/>
    <s v="CUST0226"/>
    <n v="1262.28"/>
  </r>
  <r>
    <n v="1294"/>
    <x v="23"/>
    <x v="5"/>
    <s v="Electronics"/>
    <n v="237.86"/>
    <n v="4"/>
    <n v="0.01"/>
    <n v="0.36"/>
    <s v="West"/>
    <s v="CUST0107"/>
    <n v="951.44"/>
  </r>
  <r>
    <n v="1295"/>
    <x v="154"/>
    <x v="0"/>
    <s v="Electronics"/>
    <n v="688.27"/>
    <n v="3"/>
    <n v="0.22"/>
    <n v="0.2"/>
    <s v="West"/>
    <s v="CUST0191"/>
    <n v="2064.81"/>
  </r>
  <r>
    <n v="1296"/>
    <x v="83"/>
    <x v="4"/>
    <s v="Electronics"/>
    <n v="1325.91"/>
    <n v="1"/>
    <n v="0.06"/>
    <n v="0.32"/>
    <s v="South"/>
    <s v="CUST0194"/>
    <n v="1325.91"/>
  </r>
  <r>
    <n v="1297"/>
    <x v="116"/>
    <x v="1"/>
    <s v="Accessories"/>
    <n v="624.99"/>
    <n v="3"/>
    <n v="0"/>
    <n v="0.11"/>
    <s v="South"/>
    <s v="CUST0212"/>
    <n v="1874.97"/>
  </r>
  <r>
    <n v="1298"/>
    <x v="224"/>
    <x v="2"/>
    <s v="Accessories"/>
    <n v="667.06"/>
    <n v="3"/>
    <n v="0.16"/>
    <n v="0.1"/>
    <s v="North"/>
    <s v="CUST0175"/>
    <n v="2001.1799999999998"/>
  </r>
  <r>
    <n v="1299"/>
    <x v="167"/>
    <x v="4"/>
    <s v="Electronics"/>
    <n v="1125.97"/>
    <n v="1"/>
    <n v="0.13"/>
    <n v="0.32"/>
    <s v="South"/>
    <s v="CUST0138"/>
    <n v="1125.97"/>
  </r>
  <r>
    <n v="1300"/>
    <x v="61"/>
    <x v="1"/>
    <s v="Accessories"/>
    <n v="1224.3800000000001"/>
    <n v="2"/>
    <n v="0.05"/>
    <n v="0.21"/>
    <s v="North"/>
    <s v="CUST0295"/>
    <n v="2448.7600000000002"/>
  </r>
  <r>
    <n v="1301"/>
    <x v="179"/>
    <x v="3"/>
    <s v="Accessories"/>
    <n v="951.34"/>
    <n v="5"/>
    <n v="0.17"/>
    <n v="0.28000000000000003"/>
    <s v="North"/>
    <s v="CUST0236"/>
    <n v="4756.7"/>
  </r>
  <r>
    <n v="1302"/>
    <x v="198"/>
    <x v="5"/>
    <s v="Electronics"/>
    <n v="68.03"/>
    <n v="3"/>
    <n v="0.13"/>
    <n v="0.25"/>
    <s v="West"/>
    <s v="CUST0046"/>
    <n v="204.09"/>
  </r>
  <r>
    <n v="1303"/>
    <x v="219"/>
    <x v="3"/>
    <s v="Accessories"/>
    <n v="107.2"/>
    <n v="2"/>
    <n v="0.11"/>
    <n v="0.4"/>
    <s v="North"/>
    <s v="CUST0085"/>
    <n v="214.4"/>
  </r>
  <r>
    <n v="1304"/>
    <x v="114"/>
    <x v="5"/>
    <s v="Electronics"/>
    <n v="676.22"/>
    <n v="1"/>
    <n v="0.17"/>
    <n v="0.38"/>
    <s v="East"/>
    <s v="CUST0075"/>
    <n v="676.22"/>
  </r>
  <r>
    <n v="1305"/>
    <x v="191"/>
    <x v="2"/>
    <s v="Accessories"/>
    <n v="1359.07"/>
    <n v="2"/>
    <n v="0.22"/>
    <n v="0.28000000000000003"/>
    <s v="North"/>
    <s v="CUST0136"/>
    <n v="2718.14"/>
  </r>
  <r>
    <n v="1306"/>
    <x v="345"/>
    <x v="4"/>
    <s v="Electronics"/>
    <n v="937.65"/>
    <n v="1"/>
    <n v="0.14000000000000001"/>
    <n v="0.17"/>
    <s v="South"/>
    <s v="CUST0163"/>
    <n v="937.65"/>
  </r>
  <r>
    <n v="1307"/>
    <x v="157"/>
    <x v="0"/>
    <s v="Electronics"/>
    <n v="1251.79"/>
    <n v="2"/>
    <n v="0.16"/>
    <n v="0.28999999999999998"/>
    <s v="East"/>
    <s v="CUST0053"/>
    <n v="2503.58"/>
  </r>
  <r>
    <n v="1308"/>
    <x v="241"/>
    <x v="3"/>
    <s v="Accessories"/>
    <n v="1350.53"/>
    <n v="2"/>
    <n v="0.28000000000000003"/>
    <n v="0.24"/>
    <s v="South"/>
    <s v="CUST0030"/>
    <n v="2701.06"/>
  </r>
  <r>
    <n v="1309"/>
    <x v="142"/>
    <x v="0"/>
    <s v="Electronics"/>
    <n v="350.19"/>
    <n v="4"/>
    <n v="0.12"/>
    <n v="0.38"/>
    <s v="East"/>
    <s v="CUST0103"/>
    <n v="1400.76"/>
  </r>
  <r>
    <n v="1310"/>
    <x v="187"/>
    <x v="1"/>
    <s v="Accessories"/>
    <n v="1400.59"/>
    <n v="3"/>
    <n v="0.16"/>
    <n v="0.13"/>
    <s v="North"/>
    <s v="CUST0179"/>
    <n v="4201.7699999999995"/>
  </r>
  <r>
    <n v="1311"/>
    <x v="280"/>
    <x v="2"/>
    <s v="Accessories"/>
    <n v="1286.3699999999999"/>
    <n v="1"/>
    <n v="0.21"/>
    <n v="0.23"/>
    <s v="West"/>
    <s v="CUST0071"/>
    <n v="1286.3699999999999"/>
  </r>
  <r>
    <n v="1312"/>
    <x v="249"/>
    <x v="0"/>
    <s v="Electronics"/>
    <n v="282.81"/>
    <n v="5"/>
    <n v="0.28999999999999998"/>
    <n v="0.19"/>
    <s v="West"/>
    <s v="CUST0098"/>
    <n v="1414.05"/>
  </r>
  <r>
    <n v="1313"/>
    <x v="321"/>
    <x v="2"/>
    <s v="Accessories"/>
    <n v="1018.29"/>
    <n v="5"/>
    <n v="0.27"/>
    <n v="0.12"/>
    <s v="North"/>
    <s v="CUST0099"/>
    <n v="5091.45"/>
  </r>
  <r>
    <n v="1314"/>
    <x v="58"/>
    <x v="5"/>
    <s v="Electronics"/>
    <n v="61.39"/>
    <n v="3"/>
    <n v="0.16"/>
    <n v="0.4"/>
    <s v="West"/>
    <s v="CUST0224"/>
    <n v="184.17000000000002"/>
  </r>
  <r>
    <n v="1315"/>
    <x v="347"/>
    <x v="1"/>
    <s v="Accessories"/>
    <n v="337.82"/>
    <n v="3"/>
    <n v="0.19"/>
    <n v="0.11"/>
    <s v="South"/>
    <s v="CUST0172"/>
    <n v="1013.46"/>
  </r>
  <r>
    <n v="1316"/>
    <x v="197"/>
    <x v="5"/>
    <s v="Electronics"/>
    <n v="370.63"/>
    <n v="3"/>
    <n v="0.11"/>
    <n v="0.13"/>
    <s v="West"/>
    <s v="CUST0140"/>
    <n v="1111.8899999999999"/>
  </r>
  <r>
    <n v="1317"/>
    <x v="348"/>
    <x v="3"/>
    <s v="Accessories"/>
    <n v="528.82000000000005"/>
    <n v="2"/>
    <n v="0.08"/>
    <n v="0.4"/>
    <s v="North"/>
    <s v="CUST0050"/>
    <n v="1057.6400000000001"/>
  </r>
  <r>
    <n v="1318"/>
    <x v="156"/>
    <x v="1"/>
    <s v="Accessories"/>
    <n v="1242.52"/>
    <n v="2"/>
    <n v="0.28999999999999998"/>
    <n v="0.3"/>
    <s v="West"/>
    <s v="CUST0277"/>
    <n v="2485.04"/>
  </r>
  <r>
    <n v="1319"/>
    <x v="2"/>
    <x v="0"/>
    <s v="Electronics"/>
    <n v="934.03"/>
    <n v="1"/>
    <n v="0.04"/>
    <n v="0.28999999999999998"/>
    <s v="East"/>
    <s v="CUST0029"/>
    <n v="934.03"/>
  </r>
  <r>
    <n v="1320"/>
    <x v="27"/>
    <x v="2"/>
    <s v="Accessories"/>
    <n v="1160.3499999999999"/>
    <n v="1"/>
    <n v="0.03"/>
    <n v="0.35"/>
    <s v="West"/>
    <s v="CUST0169"/>
    <n v="1160.3499999999999"/>
  </r>
  <r>
    <n v="1321"/>
    <x v="52"/>
    <x v="2"/>
    <s v="Accessories"/>
    <n v="792.34"/>
    <n v="4"/>
    <n v="0.15"/>
    <n v="0.37"/>
    <s v="South"/>
    <s v="CUST0106"/>
    <n v="3169.36"/>
  </r>
  <r>
    <n v="1322"/>
    <x v="66"/>
    <x v="3"/>
    <s v="Accessories"/>
    <n v="1041.54"/>
    <n v="2"/>
    <n v="0.28000000000000003"/>
    <n v="0.35"/>
    <s v="East"/>
    <s v="CUST0025"/>
    <n v="2083.08"/>
  </r>
  <r>
    <n v="1323"/>
    <x v="49"/>
    <x v="0"/>
    <s v="Electronics"/>
    <n v="345.23"/>
    <n v="5"/>
    <n v="0.09"/>
    <n v="0.39"/>
    <s v="West"/>
    <s v="CUST0195"/>
    <n v="1726.15"/>
  </r>
  <r>
    <n v="1324"/>
    <x v="291"/>
    <x v="5"/>
    <s v="Electronics"/>
    <n v="861.98"/>
    <n v="2"/>
    <n v="0.16"/>
    <n v="0.27"/>
    <s v="East"/>
    <s v="CUST0095"/>
    <n v="1723.96"/>
  </r>
  <r>
    <n v="1325"/>
    <x v="311"/>
    <x v="1"/>
    <s v="Accessories"/>
    <n v="614.5"/>
    <n v="3"/>
    <n v="0.28999999999999998"/>
    <n v="0.11"/>
    <s v="North"/>
    <s v="CUST0123"/>
    <n v="1843.5"/>
  </r>
  <r>
    <n v="1326"/>
    <x v="258"/>
    <x v="3"/>
    <s v="Accessories"/>
    <n v="405.22"/>
    <n v="1"/>
    <n v="0"/>
    <n v="0.11"/>
    <s v="North"/>
    <s v="CUST0218"/>
    <n v="405.22"/>
  </r>
  <r>
    <n v="1327"/>
    <x v="319"/>
    <x v="2"/>
    <s v="Accessories"/>
    <n v="1238.42"/>
    <n v="5"/>
    <n v="0.28999999999999998"/>
    <n v="0.37"/>
    <s v="West"/>
    <s v="CUST0074"/>
    <n v="6192.1"/>
  </r>
  <r>
    <n v="1328"/>
    <x v="116"/>
    <x v="5"/>
    <s v="Electronics"/>
    <n v="760.98"/>
    <n v="4"/>
    <n v="0.21"/>
    <n v="0.25"/>
    <s v="North"/>
    <s v="CUST0163"/>
    <n v="3043.92"/>
  </r>
  <r>
    <n v="1329"/>
    <x v="208"/>
    <x v="3"/>
    <s v="Accessories"/>
    <n v="740.8"/>
    <n v="1"/>
    <n v="0.25"/>
    <n v="0.26"/>
    <s v="South"/>
    <s v="CUST0154"/>
    <n v="740.8"/>
  </r>
  <r>
    <n v="1330"/>
    <x v="145"/>
    <x v="5"/>
    <s v="Electronics"/>
    <n v="1311.78"/>
    <n v="4"/>
    <n v="0.18"/>
    <n v="0.13"/>
    <s v="North"/>
    <s v="CUST0125"/>
    <n v="5247.12"/>
  </r>
  <r>
    <n v="1331"/>
    <x v="335"/>
    <x v="5"/>
    <s v="Electronics"/>
    <n v="789.59"/>
    <n v="5"/>
    <n v="0.18"/>
    <n v="0.18"/>
    <s v="West"/>
    <s v="CUST0118"/>
    <n v="3947.9500000000003"/>
  </r>
  <r>
    <n v="1332"/>
    <x v="110"/>
    <x v="5"/>
    <s v="Electronics"/>
    <n v="1210.45"/>
    <n v="3"/>
    <n v="0.19"/>
    <n v="0.38"/>
    <s v="South"/>
    <s v="CUST0232"/>
    <n v="3631.3500000000004"/>
  </r>
  <r>
    <n v="1333"/>
    <x v="167"/>
    <x v="4"/>
    <s v="Electronics"/>
    <n v="696.06"/>
    <n v="1"/>
    <n v="0.04"/>
    <n v="0.26"/>
    <s v="North"/>
    <s v="CUST0134"/>
    <n v="696.06"/>
  </r>
  <r>
    <n v="1334"/>
    <x v="7"/>
    <x v="4"/>
    <s v="Electronics"/>
    <n v="156.97"/>
    <n v="4"/>
    <n v="0.09"/>
    <n v="0.1"/>
    <s v="West"/>
    <s v="CUST0261"/>
    <n v="627.88"/>
  </r>
  <r>
    <n v="1335"/>
    <x v="178"/>
    <x v="4"/>
    <s v="Electronics"/>
    <n v="171.38"/>
    <n v="4"/>
    <n v="0.04"/>
    <n v="0.32"/>
    <s v="East"/>
    <s v="CUST0189"/>
    <n v="685.52"/>
  </r>
  <r>
    <n v="1336"/>
    <x v="127"/>
    <x v="4"/>
    <s v="Electronics"/>
    <n v="944.13"/>
    <n v="3"/>
    <n v="0.27"/>
    <n v="0.31"/>
    <s v="East"/>
    <s v="CUST0274"/>
    <n v="2832.39"/>
  </r>
  <r>
    <n v="1337"/>
    <x v="120"/>
    <x v="3"/>
    <s v="Accessories"/>
    <n v="429.39"/>
    <n v="1"/>
    <n v="0.23"/>
    <n v="0.34"/>
    <s v="West"/>
    <s v="CUST0216"/>
    <n v="429.39"/>
  </r>
  <r>
    <n v="1338"/>
    <x v="89"/>
    <x v="4"/>
    <s v="Electronics"/>
    <n v="1303.23"/>
    <n v="2"/>
    <n v="0.01"/>
    <n v="0.19"/>
    <s v="East"/>
    <s v="CUST0091"/>
    <n v="2606.46"/>
  </r>
  <r>
    <n v="1339"/>
    <x v="192"/>
    <x v="4"/>
    <s v="Electronics"/>
    <n v="262.27"/>
    <n v="2"/>
    <n v="0.14000000000000001"/>
    <n v="0.36"/>
    <s v="East"/>
    <s v="CUST0181"/>
    <n v="524.54"/>
  </r>
  <r>
    <n v="1340"/>
    <x v="79"/>
    <x v="4"/>
    <s v="Electronics"/>
    <n v="771.56"/>
    <n v="1"/>
    <n v="0.06"/>
    <n v="0.24"/>
    <s v="West"/>
    <s v="CUST0049"/>
    <n v="771.56"/>
  </r>
  <r>
    <n v="1341"/>
    <x v="199"/>
    <x v="4"/>
    <s v="Electronics"/>
    <n v="815.14"/>
    <n v="4"/>
    <n v="0.18"/>
    <n v="0.34"/>
    <s v="South"/>
    <s v="CUST0049"/>
    <n v="3260.56"/>
  </r>
  <r>
    <n v="1342"/>
    <x v="261"/>
    <x v="0"/>
    <s v="Electronics"/>
    <n v="1213.06"/>
    <n v="1"/>
    <n v="0.25"/>
    <n v="0.22"/>
    <s v="East"/>
    <s v="CUST0201"/>
    <n v="1213.06"/>
  </r>
  <r>
    <n v="1343"/>
    <x v="258"/>
    <x v="4"/>
    <s v="Electronics"/>
    <n v="1095.94"/>
    <n v="3"/>
    <n v="7.0000000000000007E-2"/>
    <n v="0.34"/>
    <s v="West"/>
    <s v="CUST0004"/>
    <n v="3287.82"/>
  </r>
  <r>
    <n v="1344"/>
    <x v="98"/>
    <x v="4"/>
    <s v="Electronics"/>
    <n v="803.45"/>
    <n v="1"/>
    <n v="0.03"/>
    <n v="0.17"/>
    <s v="West"/>
    <s v="CUST0011"/>
    <n v="803.45"/>
  </r>
  <r>
    <n v="1345"/>
    <x v="349"/>
    <x v="0"/>
    <s v="Electronics"/>
    <n v="181.74"/>
    <n v="2"/>
    <n v="0.05"/>
    <n v="0.23"/>
    <s v="South"/>
    <s v="CUST0028"/>
    <n v="363.48"/>
  </r>
  <r>
    <n v="1346"/>
    <x v="165"/>
    <x v="2"/>
    <s v="Accessories"/>
    <n v="1042.1400000000001"/>
    <n v="3"/>
    <n v="0.16"/>
    <n v="0.27"/>
    <s v="West"/>
    <s v="CUST0105"/>
    <n v="3126.42"/>
  </r>
  <r>
    <n v="1347"/>
    <x v="277"/>
    <x v="2"/>
    <s v="Accessories"/>
    <n v="465.28"/>
    <n v="5"/>
    <n v="0.28999999999999998"/>
    <n v="0.21"/>
    <s v="South"/>
    <s v="CUST0012"/>
    <n v="2326.3999999999996"/>
  </r>
  <r>
    <n v="1348"/>
    <x v="329"/>
    <x v="1"/>
    <s v="Accessories"/>
    <n v="297.04000000000002"/>
    <n v="3"/>
    <n v="0.23"/>
    <n v="0.16"/>
    <s v="North"/>
    <s v="CUST0299"/>
    <n v="891.12000000000012"/>
  </r>
  <r>
    <n v="1349"/>
    <x v="327"/>
    <x v="1"/>
    <s v="Accessories"/>
    <n v="1004.45"/>
    <n v="3"/>
    <n v="0.15"/>
    <n v="0.19"/>
    <s v="East"/>
    <s v="CUST0126"/>
    <n v="3013.3500000000004"/>
  </r>
  <r>
    <n v="1350"/>
    <x v="116"/>
    <x v="3"/>
    <s v="Accessories"/>
    <n v="856.51"/>
    <n v="5"/>
    <n v="0.22"/>
    <n v="0.12"/>
    <s v="South"/>
    <s v="CUST0162"/>
    <n v="4282.55"/>
  </r>
  <r>
    <n v="1351"/>
    <x v="113"/>
    <x v="3"/>
    <s v="Accessories"/>
    <n v="1231.99"/>
    <n v="2"/>
    <n v="0.26"/>
    <n v="0.21"/>
    <s v="East"/>
    <s v="CUST0105"/>
    <n v="2463.98"/>
  </r>
  <r>
    <n v="1352"/>
    <x v="277"/>
    <x v="1"/>
    <s v="Accessories"/>
    <n v="657.6"/>
    <n v="3"/>
    <n v="0.27"/>
    <n v="0.14000000000000001"/>
    <s v="West"/>
    <s v="CUST0154"/>
    <n v="1972.8000000000002"/>
  </r>
  <r>
    <n v="1353"/>
    <x v="236"/>
    <x v="3"/>
    <s v="Accessories"/>
    <n v="790.83"/>
    <n v="4"/>
    <n v="0.02"/>
    <n v="0.16"/>
    <s v="West"/>
    <s v="CUST0198"/>
    <n v="3163.32"/>
  </r>
  <r>
    <n v="1354"/>
    <x v="233"/>
    <x v="4"/>
    <s v="Electronics"/>
    <n v="885.33"/>
    <n v="3"/>
    <n v="0.11"/>
    <n v="0.38"/>
    <s v="North"/>
    <s v="CUST0065"/>
    <n v="2655.9900000000002"/>
  </r>
  <r>
    <n v="1355"/>
    <x v="122"/>
    <x v="2"/>
    <s v="Accessories"/>
    <n v="212.66"/>
    <n v="5"/>
    <n v="0.21"/>
    <n v="0.3"/>
    <s v="West"/>
    <s v="CUST0037"/>
    <n v="1063.3"/>
  </r>
  <r>
    <n v="1356"/>
    <x v="86"/>
    <x v="2"/>
    <s v="Accessories"/>
    <n v="81.12"/>
    <n v="2"/>
    <n v="0.16"/>
    <n v="0.16"/>
    <s v="North"/>
    <s v="CUST0069"/>
    <n v="162.24"/>
  </r>
  <r>
    <n v="1357"/>
    <x v="1"/>
    <x v="2"/>
    <s v="Accessories"/>
    <n v="30.78"/>
    <n v="3"/>
    <n v="0.24"/>
    <n v="0.34"/>
    <s v="South"/>
    <s v="CUST0181"/>
    <n v="92.34"/>
  </r>
  <r>
    <n v="1358"/>
    <x v="258"/>
    <x v="1"/>
    <s v="Accessories"/>
    <n v="1098.1199999999999"/>
    <n v="3"/>
    <n v="0.05"/>
    <n v="0.19"/>
    <s v="North"/>
    <s v="CUST0204"/>
    <n v="3294.3599999999997"/>
  </r>
  <r>
    <n v="1359"/>
    <x v="321"/>
    <x v="3"/>
    <s v="Accessories"/>
    <n v="321.05"/>
    <n v="5"/>
    <n v="0.16"/>
    <n v="0.12"/>
    <s v="West"/>
    <s v="CUST0282"/>
    <n v="1605.25"/>
  </r>
  <r>
    <n v="1360"/>
    <x v="77"/>
    <x v="4"/>
    <s v="Electronics"/>
    <n v="940.32"/>
    <n v="4"/>
    <n v="0.12"/>
    <n v="0.38"/>
    <s v="East"/>
    <s v="CUST0013"/>
    <n v="3761.28"/>
  </r>
  <r>
    <n v="1361"/>
    <x v="350"/>
    <x v="3"/>
    <s v="Accessories"/>
    <n v="1277.96"/>
    <n v="3"/>
    <n v="0.14000000000000001"/>
    <n v="0.21"/>
    <s v="North"/>
    <s v="CUST0103"/>
    <n v="3833.88"/>
  </r>
  <r>
    <n v="1362"/>
    <x v="205"/>
    <x v="1"/>
    <s v="Accessories"/>
    <n v="1117.06"/>
    <n v="3"/>
    <n v="0.23"/>
    <n v="0.15"/>
    <s v="South"/>
    <s v="CUST0155"/>
    <n v="3351.18"/>
  </r>
  <r>
    <n v="1363"/>
    <x v="184"/>
    <x v="5"/>
    <s v="Electronics"/>
    <n v="65.52"/>
    <n v="2"/>
    <n v="0.19"/>
    <n v="0.38"/>
    <s v="West"/>
    <s v="CUST0266"/>
    <n v="131.04"/>
  </r>
  <r>
    <n v="1364"/>
    <x v="263"/>
    <x v="1"/>
    <s v="Accessories"/>
    <n v="1017.15"/>
    <n v="3"/>
    <n v="0.02"/>
    <n v="0.12"/>
    <s v="East"/>
    <s v="CUST0277"/>
    <n v="3051.45"/>
  </r>
  <r>
    <n v="1365"/>
    <x v="289"/>
    <x v="3"/>
    <s v="Accessories"/>
    <n v="72.89"/>
    <n v="5"/>
    <n v="0.22"/>
    <n v="0.4"/>
    <s v="North"/>
    <s v="CUST0027"/>
    <n v="364.45"/>
  </r>
  <r>
    <n v="1366"/>
    <x v="38"/>
    <x v="2"/>
    <s v="Accessories"/>
    <n v="1258.22"/>
    <n v="4"/>
    <n v="0.28000000000000003"/>
    <n v="0.1"/>
    <s v="South"/>
    <s v="CUST0275"/>
    <n v="5032.88"/>
  </r>
  <r>
    <n v="1367"/>
    <x v="210"/>
    <x v="0"/>
    <s v="Electronics"/>
    <n v="574.15"/>
    <n v="4"/>
    <n v="0.02"/>
    <n v="0.24"/>
    <s v="East"/>
    <s v="CUST0253"/>
    <n v="2296.6"/>
  </r>
  <r>
    <n v="1368"/>
    <x v="176"/>
    <x v="1"/>
    <s v="Accessories"/>
    <n v="1480.19"/>
    <n v="5"/>
    <n v="0.19"/>
    <n v="0.19"/>
    <s v="West"/>
    <s v="CUST0285"/>
    <n v="7400.9500000000007"/>
  </r>
  <r>
    <n v="1369"/>
    <x v="307"/>
    <x v="1"/>
    <s v="Accessories"/>
    <n v="437.03"/>
    <n v="1"/>
    <n v="0.25"/>
    <n v="0.25"/>
    <s v="South"/>
    <s v="CUST0106"/>
    <n v="437.03"/>
  </r>
  <r>
    <n v="1370"/>
    <x v="333"/>
    <x v="0"/>
    <s v="Electronics"/>
    <n v="39.770000000000003"/>
    <n v="4"/>
    <n v="0.05"/>
    <n v="0.16"/>
    <s v="North"/>
    <s v="CUST0176"/>
    <n v="159.08000000000001"/>
  </r>
  <r>
    <n v="1371"/>
    <x v="148"/>
    <x v="1"/>
    <s v="Accessories"/>
    <n v="1091.51"/>
    <n v="5"/>
    <n v="0.06"/>
    <n v="0.13"/>
    <s v="East"/>
    <s v="CUST0254"/>
    <n v="5457.55"/>
  </r>
  <r>
    <n v="1372"/>
    <x v="15"/>
    <x v="0"/>
    <s v="Electronics"/>
    <n v="599.54"/>
    <n v="1"/>
    <n v="0"/>
    <n v="0.21"/>
    <s v="South"/>
    <s v="CUST0010"/>
    <n v="599.54"/>
  </r>
  <r>
    <n v="1373"/>
    <x v="92"/>
    <x v="2"/>
    <s v="Accessories"/>
    <n v="225.05"/>
    <n v="2"/>
    <n v="0.03"/>
    <n v="0.13"/>
    <s v="North"/>
    <s v="CUST0208"/>
    <n v="450.1"/>
  </r>
  <r>
    <n v="1374"/>
    <x v="351"/>
    <x v="5"/>
    <s v="Electronics"/>
    <n v="1179.55"/>
    <n v="3"/>
    <n v="0.19"/>
    <n v="0.14000000000000001"/>
    <s v="East"/>
    <s v="CUST0190"/>
    <n v="3538.6499999999996"/>
  </r>
  <r>
    <n v="1375"/>
    <x v="216"/>
    <x v="5"/>
    <s v="Electronics"/>
    <n v="1267.24"/>
    <n v="1"/>
    <n v="0.28999999999999998"/>
    <n v="0.28000000000000003"/>
    <s v="South"/>
    <s v="CUST0194"/>
    <n v="1267.24"/>
  </r>
  <r>
    <n v="1376"/>
    <x v="231"/>
    <x v="2"/>
    <s v="Accessories"/>
    <n v="618.73"/>
    <n v="2"/>
    <n v="0.16"/>
    <n v="0.18"/>
    <s v="East"/>
    <s v="CUST0129"/>
    <n v="1237.46"/>
  </r>
  <r>
    <n v="1377"/>
    <x v="65"/>
    <x v="2"/>
    <s v="Accessories"/>
    <n v="1423.09"/>
    <n v="4"/>
    <n v="0.15"/>
    <n v="0.19"/>
    <s v="North"/>
    <s v="CUST0245"/>
    <n v="5692.36"/>
  </r>
  <r>
    <n v="1378"/>
    <x v="1"/>
    <x v="2"/>
    <s v="Accessories"/>
    <n v="100.56"/>
    <n v="2"/>
    <n v="0.27"/>
    <n v="0.31"/>
    <s v="South"/>
    <s v="CUST0058"/>
    <n v="201.12"/>
  </r>
  <r>
    <n v="1379"/>
    <x v="131"/>
    <x v="3"/>
    <s v="Accessories"/>
    <n v="1164.94"/>
    <n v="1"/>
    <n v="0.08"/>
    <n v="0.26"/>
    <s v="East"/>
    <s v="CUST0047"/>
    <n v="1164.94"/>
  </r>
  <r>
    <n v="1380"/>
    <x v="329"/>
    <x v="2"/>
    <s v="Accessories"/>
    <n v="575.70000000000005"/>
    <n v="1"/>
    <n v="0.23"/>
    <n v="0.21"/>
    <s v="West"/>
    <s v="CUST0299"/>
    <n v="575.70000000000005"/>
  </r>
  <r>
    <n v="1381"/>
    <x v="245"/>
    <x v="0"/>
    <s v="Electronics"/>
    <n v="1218.82"/>
    <n v="4"/>
    <n v="0.01"/>
    <n v="0.15"/>
    <s v="East"/>
    <s v="CUST0148"/>
    <n v="4875.28"/>
  </r>
  <r>
    <n v="1382"/>
    <x v="148"/>
    <x v="2"/>
    <s v="Accessories"/>
    <n v="128.85"/>
    <n v="4"/>
    <n v="0.12"/>
    <n v="0.27"/>
    <s v="East"/>
    <s v="CUST0098"/>
    <n v="515.4"/>
  </r>
  <r>
    <n v="1383"/>
    <x v="266"/>
    <x v="4"/>
    <s v="Electronics"/>
    <n v="30.84"/>
    <n v="4"/>
    <n v="0.05"/>
    <n v="0.21"/>
    <s v="West"/>
    <s v="CUST0228"/>
    <n v="123.36"/>
  </r>
  <r>
    <n v="1384"/>
    <x v="261"/>
    <x v="1"/>
    <s v="Accessories"/>
    <n v="975.21"/>
    <n v="3"/>
    <n v="0.13"/>
    <n v="0.22"/>
    <s v="West"/>
    <s v="CUST0033"/>
    <n v="2925.63"/>
  </r>
  <r>
    <n v="1385"/>
    <x v="40"/>
    <x v="2"/>
    <s v="Accessories"/>
    <n v="342.88"/>
    <n v="2"/>
    <n v="0.16"/>
    <n v="0.32"/>
    <s v="West"/>
    <s v="CUST0205"/>
    <n v="685.76"/>
  </r>
  <r>
    <n v="1386"/>
    <x v="299"/>
    <x v="2"/>
    <s v="Accessories"/>
    <n v="637.35"/>
    <n v="1"/>
    <n v="0.05"/>
    <n v="0.34"/>
    <s v="East"/>
    <s v="CUST0182"/>
    <n v="637.35"/>
  </r>
  <r>
    <n v="1387"/>
    <x v="46"/>
    <x v="4"/>
    <s v="Electronics"/>
    <n v="152.05000000000001"/>
    <n v="3"/>
    <n v="0.27"/>
    <n v="0.19"/>
    <s v="North"/>
    <s v="CUST0230"/>
    <n v="456.15000000000003"/>
  </r>
  <r>
    <n v="1388"/>
    <x v="314"/>
    <x v="3"/>
    <s v="Accessories"/>
    <n v="51.67"/>
    <n v="4"/>
    <n v="0.16"/>
    <n v="0.28999999999999998"/>
    <s v="East"/>
    <s v="CUST0267"/>
    <n v="206.68"/>
  </r>
  <r>
    <n v="1389"/>
    <x v="3"/>
    <x v="4"/>
    <s v="Electronics"/>
    <n v="1017.84"/>
    <n v="1"/>
    <n v="0.26"/>
    <n v="0.24"/>
    <s v="West"/>
    <s v="CUST0279"/>
    <n v="1017.84"/>
  </r>
  <r>
    <n v="1390"/>
    <x v="66"/>
    <x v="3"/>
    <s v="Accessories"/>
    <n v="256"/>
    <n v="1"/>
    <n v="0.14000000000000001"/>
    <n v="0.37"/>
    <s v="West"/>
    <s v="CUST0239"/>
    <n v="256"/>
  </r>
  <r>
    <n v="1391"/>
    <x v="105"/>
    <x v="5"/>
    <s v="Electronics"/>
    <n v="1472.6"/>
    <n v="3"/>
    <n v="0.1"/>
    <n v="0.37"/>
    <s v="East"/>
    <s v="CUST0123"/>
    <n v="4417.7999999999993"/>
  </r>
  <r>
    <n v="1392"/>
    <x v="121"/>
    <x v="1"/>
    <s v="Accessories"/>
    <n v="1014.53"/>
    <n v="2"/>
    <n v="0.14000000000000001"/>
    <n v="0.35"/>
    <s v="East"/>
    <s v="CUST0171"/>
    <n v="2029.06"/>
  </r>
  <r>
    <n v="1393"/>
    <x v="303"/>
    <x v="3"/>
    <s v="Accessories"/>
    <n v="987.77"/>
    <n v="5"/>
    <n v="0.19"/>
    <n v="0.28000000000000003"/>
    <s v="East"/>
    <s v="CUST0222"/>
    <n v="4938.8500000000004"/>
  </r>
  <r>
    <n v="1394"/>
    <x v="80"/>
    <x v="2"/>
    <s v="Accessories"/>
    <n v="312.54000000000002"/>
    <n v="5"/>
    <n v="0.17"/>
    <n v="0.33"/>
    <s v="East"/>
    <s v="CUST0295"/>
    <n v="1562.7"/>
  </r>
  <r>
    <n v="1395"/>
    <x v="323"/>
    <x v="4"/>
    <s v="Electronics"/>
    <n v="591.32000000000005"/>
    <n v="5"/>
    <n v="0.03"/>
    <n v="0.26"/>
    <s v="East"/>
    <s v="CUST0299"/>
    <n v="2956.6000000000004"/>
  </r>
  <r>
    <n v="1396"/>
    <x v="215"/>
    <x v="0"/>
    <s v="Electronics"/>
    <n v="692.02"/>
    <n v="3"/>
    <n v="0.28999999999999998"/>
    <n v="0.32"/>
    <s v="South"/>
    <s v="CUST0137"/>
    <n v="2076.06"/>
  </r>
  <r>
    <n v="1397"/>
    <x v="42"/>
    <x v="1"/>
    <s v="Accessories"/>
    <n v="1305.44"/>
    <n v="1"/>
    <n v="0.09"/>
    <n v="0.3"/>
    <s v="North"/>
    <s v="CUST0001"/>
    <n v="1305.44"/>
  </r>
  <r>
    <n v="1398"/>
    <x v="186"/>
    <x v="3"/>
    <s v="Accessories"/>
    <n v="573.29999999999995"/>
    <n v="3"/>
    <n v="0.21"/>
    <n v="0.11"/>
    <s v="North"/>
    <s v="CUST0217"/>
    <n v="1719.8999999999999"/>
  </r>
  <r>
    <n v="1399"/>
    <x v="238"/>
    <x v="0"/>
    <s v="Electronics"/>
    <n v="1172.42"/>
    <n v="5"/>
    <n v="0.11"/>
    <n v="0.21"/>
    <s v="South"/>
    <s v="CUST0154"/>
    <n v="5862.1"/>
  </r>
  <r>
    <n v="1400"/>
    <x v="230"/>
    <x v="3"/>
    <s v="Accessories"/>
    <n v="911.61"/>
    <n v="1"/>
    <n v="0.27"/>
    <n v="0.25"/>
    <s v="West"/>
    <s v="CUST0076"/>
    <n v="911.61"/>
  </r>
  <r>
    <n v="1401"/>
    <x v="79"/>
    <x v="3"/>
    <s v="Accessories"/>
    <n v="434.35"/>
    <n v="4"/>
    <n v="0.06"/>
    <n v="0.27"/>
    <s v="South"/>
    <s v="CUST0030"/>
    <n v="1737.4"/>
  </r>
  <r>
    <n v="1402"/>
    <x v="139"/>
    <x v="3"/>
    <s v="Accessories"/>
    <n v="980.39"/>
    <n v="2"/>
    <n v="0.21"/>
    <n v="0.31"/>
    <s v="West"/>
    <s v="CUST0120"/>
    <n v="1960.78"/>
  </r>
  <r>
    <n v="1403"/>
    <x v="29"/>
    <x v="3"/>
    <s v="Accessories"/>
    <n v="829.98"/>
    <n v="1"/>
    <n v="0.13"/>
    <n v="0.23"/>
    <s v="West"/>
    <s v="CUST0180"/>
    <n v="829.98"/>
  </r>
  <r>
    <n v="1404"/>
    <x v="75"/>
    <x v="5"/>
    <s v="Electronics"/>
    <n v="627.83000000000004"/>
    <n v="4"/>
    <n v="0.26"/>
    <n v="0.17"/>
    <s v="North"/>
    <s v="CUST0270"/>
    <n v="2511.3200000000002"/>
  </r>
  <r>
    <n v="1405"/>
    <x v="97"/>
    <x v="1"/>
    <s v="Accessories"/>
    <n v="1082.8399999999999"/>
    <n v="4"/>
    <n v="0.15"/>
    <n v="0.17"/>
    <s v="South"/>
    <s v="CUST0203"/>
    <n v="4331.3599999999997"/>
  </r>
  <r>
    <n v="1406"/>
    <x v="145"/>
    <x v="3"/>
    <s v="Accessories"/>
    <n v="273.14999999999998"/>
    <n v="4"/>
    <n v="0.27"/>
    <n v="0.3"/>
    <s v="North"/>
    <s v="CUST0227"/>
    <n v="1092.5999999999999"/>
  </r>
  <r>
    <n v="1407"/>
    <x v="17"/>
    <x v="4"/>
    <s v="Electronics"/>
    <n v="976.73"/>
    <n v="3"/>
    <n v="0.24"/>
    <n v="0.35"/>
    <s v="East"/>
    <s v="CUST0076"/>
    <n v="2930.19"/>
  </r>
  <r>
    <n v="1408"/>
    <x v="76"/>
    <x v="5"/>
    <s v="Electronics"/>
    <n v="428.66"/>
    <n v="3"/>
    <n v="0.21"/>
    <n v="0.18"/>
    <s v="North"/>
    <s v="CUST0184"/>
    <n v="1285.98"/>
  </r>
  <r>
    <n v="1409"/>
    <x v="309"/>
    <x v="1"/>
    <s v="Accessories"/>
    <n v="35.85"/>
    <n v="4"/>
    <n v="0"/>
    <n v="0.14000000000000001"/>
    <s v="East"/>
    <s v="CUST0252"/>
    <n v="143.4"/>
  </r>
  <r>
    <n v="1410"/>
    <x v="305"/>
    <x v="0"/>
    <s v="Electronics"/>
    <n v="1383.14"/>
    <n v="2"/>
    <n v="0.16"/>
    <n v="0.24"/>
    <s v="East"/>
    <s v="CUST0243"/>
    <n v="2766.28"/>
  </r>
  <r>
    <n v="1411"/>
    <x v="321"/>
    <x v="2"/>
    <s v="Accessories"/>
    <n v="1018.57"/>
    <n v="4"/>
    <n v="0.25"/>
    <n v="0.37"/>
    <s v="North"/>
    <s v="CUST0192"/>
    <n v="4074.28"/>
  </r>
  <r>
    <n v="1412"/>
    <x v="221"/>
    <x v="2"/>
    <s v="Accessories"/>
    <n v="717.96"/>
    <n v="5"/>
    <n v="0.08"/>
    <n v="0.34"/>
    <s v="North"/>
    <s v="CUST0206"/>
    <n v="3589.8"/>
  </r>
  <r>
    <n v="1413"/>
    <x v="162"/>
    <x v="4"/>
    <s v="Electronics"/>
    <n v="267.3"/>
    <n v="1"/>
    <n v="0.25"/>
    <n v="0.3"/>
    <s v="East"/>
    <s v="CUST0179"/>
    <n v="267.3"/>
  </r>
  <r>
    <n v="1414"/>
    <x v="236"/>
    <x v="0"/>
    <s v="Electronics"/>
    <n v="309.22000000000003"/>
    <n v="3"/>
    <n v="0.16"/>
    <n v="0.32"/>
    <s v="East"/>
    <s v="CUST0275"/>
    <n v="927.66000000000008"/>
  </r>
  <r>
    <n v="1415"/>
    <x v="148"/>
    <x v="1"/>
    <s v="Accessories"/>
    <n v="1245.73"/>
    <n v="2"/>
    <n v="0.27"/>
    <n v="0.28000000000000003"/>
    <s v="North"/>
    <s v="CUST0093"/>
    <n v="2491.46"/>
  </r>
  <r>
    <n v="1416"/>
    <x v="133"/>
    <x v="0"/>
    <s v="Electronics"/>
    <n v="1043"/>
    <n v="3"/>
    <n v="7.0000000000000007E-2"/>
    <n v="0.24"/>
    <s v="West"/>
    <s v="CUST0032"/>
    <n v="3129"/>
  </r>
  <r>
    <n v="1417"/>
    <x v="21"/>
    <x v="2"/>
    <s v="Accessories"/>
    <n v="1487.95"/>
    <n v="5"/>
    <n v="0.25"/>
    <n v="0.23"/>
    <s v="South"/>
    <s v="CUST0239"/>
    <n v="7439.75"/>
  </r>
  <r>
    <n v="1418"/>
    <x v="343"/>
    <x v="0"/>
    <s v="Electronics"/>
    <n v="1131.49"/>
    <n v="1"/>
    <n v="0.3"/>
    <n v="0.18"/>
    <s v="South"/>
    <s v="CUST0035"/>
    <n v="1131.49"/>
  </r>
  <r>
    <n v="1419"/>
    <x v="350"/>
    <x v="3"/>
    <s v="Accessories"/>
    <n v="511.06"/>
    <n v="4"/>
    <n v="0.26"/>
    <n v="0.31"/>
    <s v="South"/>
    <s v="CUST0250"/>
    <n v="2044.24"/>
  </r>
  <r>
    <n v="1420"/>
    <x v="304"/>
    <x v="4"/>
    <s v="Electronics"/>
    <n v="1199.52"/>
    <n v="2"/>
    <n v="0.26"/>
    <n v="0.12"/>
    <s v="North"/>
    <s v="CUST0233"/>
    <n v="2399.04"/>
  </r>
  <r>
    <n v="1421"/>
    <x v="125"/>
    <x v="3"/>
    <s v="Accessories"/>
    <n v="796"/>
    <n v="5"/>
    <n v="0.09"/>
    <n v="0.32"/>
    <s v="West"/>
    <s v="CUST0156"/>
    <n v="3980"/>
  </r>
  <r>
    <n v="1422"/>
    <x v="274"/>
    <x v="2"/>
    <s v="Accessories"/>
    <n v="327.7"/>
    <n v="1"/>
    <n v="0.04"/>
    <n v="0.19"/>
    <s v="South"/>
    <s v="CUST0064"/>
    <n v="327.7"/>
  </r>
  <r>
    <n v="1423"/>
    <x v="303"/>
    <x v="1"/>
    <s v="Accessories"/>
    <n v="593.69000000000005"/>
    <n v="1"/>
    <n v="0.22"/>
    <n v="0.34"/>
    <s v="East"/>
    <s v="CUST0242"/>
    <n v="593.69000000000005"/>
  </r>
  <r>
    <n v="1424"/>
    <x v="155"/>
    <x v="0"/>
    <s v="Electronics"/>
    <n v="1482.85"/>
    <n v="3"/>
    <n v="0.04"/>
    <n v="0.2"/>
    <s v="South"/>
    <s v="CUST0275"/>
    <n v="4448.5499999999993"/>
  </r>
  <r>
    <n v="1425"/>
    <x v="68"/>
    <x v="5"/>
    <s v="Electronics"/>
    <n v="176.79"/>
    <n v="5"/>
    <n v="0.28000000000000003"/>
    <n v="0.33"/>
    <s v="West"/>
    <s v="CUST0036"/>
    <n v="883.94999999999993"/>
  </r>
  <r>
    <n v="1426"/>
    <x v="312"/>
    <x v="0"/>
    <s v="Electronics"/>
    <n v="752.02"/>
    <n v="4"/>
    <n v="0.22"/>
    <n v="0.38"/>
    <s v="South"/>
    <s v="CUST0208"/>
    <n v="3008.08"/>
  </r>
  <r>
    <n v="1427"/>
    <x v="352"/>
    <x v="0"/>
    <s v="Electronics"/>
    <n v="748.95"/>
    <n v="5"/>
    <n v="0.23"/>
    <n v="0.27"/>
    <s v="South"/>
    <s v="CUST0066"/>
    <n v="3744.75"/>
  </r>
  <r>
    <n v="1428"/>
    <x v="114"/>
    <x v="4"/>
    <s v="Electronics"/>
    <n v="583.54"/>
    <n v="2"/>
    <n v="0.04"/>
    <n v="0.26"/>
    <s v="South"/>
    <s v="CUST0101"/>
    <n v="1167.08"/>
  </r>
  <r>
    <n v="1429"/>
    <x v="141"/>
    <x v="4"/>
    <s v="Electronics"/>
    <n v="1077.6400000000001"/>
    <n v="3"/>
    <n v="0.2"/>
    <n v="0.16"/>
    <s v="West"/>
    <s v="CUST0045"/>
    <n v="3232.92"/>
  </r>
  <r>
    <n v="1430"/>
    <x v="350"/>
    <x v="4"/>
    <s v="Electronics"/>
    <n v="820.31"/>
    <n v="3"/>
    <n v="0.19"/>
    <n v="0.23"/>
    <s v="East"/>
    <s v="CUST0300"/>
    <n v="2460.9299999999998"/>
  </r>
  <r>
    <n v="1431"/>
    <x v="302"/>
    <x v="4"/>
    <s v="Electronics"/>
    <n v="838.74"/>
    <n v="2"/>
    <n v="0.01"/>
    <n v="0.13"/>
    <s v="West"/>
    <s v="CUST0042"/>
    <n v="1677.48"/>
  </r>
  <r>
    <n v="1432"/>
    <x v="95"/>
    <x v="0"/>
    <s v="Electronics"/>
    <n v="761.28"/>
    <n v="1"/>
    <n v="0.22"/>
    <n v="0.17"/>
    <s v="North"/>
    <s v="CUST0088"/>
    <n v="761.28"/>
  </r>
  <r>
    <n v="1433"/>
    <x v="169"/>
    <x v="4"/>
    <s v="Electronics"/>
    <n v="537.25"/>
    <n v="4"/>
    <n v="0.21"/>
    <n v="0.36"/>
    <s v="South"/>
    <s v="CUST0148"/>
    <n v="2149"/>
  </r>
  <r>
    <n v="1434"/>
    <x v="265"/>
    <x v="1"/>
    <s v="Accessories"/>
    <n v="420.37"/>
    <n v="4"/>
    <n v="0.21"/>
    <n v="0.36"/>
    <s v="South"/>
    <s v="CUST0183"/>
    <n v="1681.48"/>
  </r>
  <r>
    <n v="1435"/>
    <x v="197"/>
    <x v="4"/>
    <s v="Electronics"/>
    <n v="129.06"/>
    <n v="3"/>
    <n v="0.28000000000000003"/>
    <n v="0.32"/>
    <s v="West"/>
    <s v="CUST0188"/>
    <n v="387.18"/>
  </r>
  <r>
    <n v="1436"/>
    <x v="94"/>
    <x v="0"/>
    <s v="Electronics"/>
    <n v="1240.25"/>
    <n v="3"/>
    <n v="0.16"/>
    <n v="0.28999999999999998"/>
    <s v="North"/>
    <s v="CUST0152"/>
    <n v="3720.75"/>
  </r>
  <r>
    <n v="1437"/>
    <x v="96"/>
    <x v="0"/>
    <s v="Electronics"/>
    <n v="942.46"/>
    <n v="4"/>
    <n v="0.04"/>
    <n v="0.28000000000000003"/>
    <s v="South"/>
    <s v="CUST0248"/>
    <n v="3769.84"/>
  </r>
  <r>
    <n v="1438"/>
    <x v="34"/>
    <x v="4"/>
    <s v="Electronics"/>
    <n v="555.69000000000005"/>
    <n v="3"/>
    <n v="0.28999999999999998"/>
    <n v="0.13"/>
    <s v="West"/>
    <s v="CUST0174"/>
    <n v="1667.0700000000002"/>
  </r>
  <r>
    <n v="1439"/>
    <x v="22"/>
    <x v="1"/>
    <s v="Accessories"/>
    <n v="1426.99"/>
    <n v="3"/>
    <n v="0.13"/>
    <n v="0.31"/>
    <s v="South"/>
    <s v="CUST0189"/>
    <n v="4280.97"/>
  </r>
  <r>
    <n v="1440"/>
    <x v="231"/>
    <x v="0"/>
    <s v="Electronics"/>
    <n v="465.92"/>
    <n v="1"/>
    <n v="0.12"/>
    <n v="0.23"/>
    <s v="East"/>
    <s v="CUST0187"/>
    <n v="465.92"/>
  </r>
  <r>
    <n v="1441"/>
    <x v="73"/>
    <x v="1"/>
    <s v="Accessories"/>
    <n v="573.46"/>
    <n v="1"/>
    <n v="0.04"/>
    <n v="0.26"/>
    <s v="South"/>
    <s v="CUST0242"/>
    <n v="573.46"/>
  </r>
  <r>
    <n v="1442"/>
    <x v="280"/>
    <x v="3"/>
    <s v="Accessories"/>
    <n v="321.73"/>
    <n v="1"/>
    <n v="0.3"/>
    <n v="0.35"/>
    <s v="East"/>
    <s v="CUST0163"/>
    <n v="321.73"/>
  </r>
  <r>
    <n v="1443"/>
    <x v="272"/>
    <x v="5"/>
    <s v="Electronics"/>
    <n v="150.03"/>
    <n v="4"/>
    <n v="0.23"/>
    <n v="0.37"/>
    <s v="North"/>
    <s v="CUST0005"/>
    <n v="600.12"/>
  </r>
  <r>
    <n v="1444"/>
    <x v="282"/>
    <x v="5"/>
    <s v="Electronics"/>
    <n v="539.58000000000004"/>
    <n v="5"/>
    <n v="0.02"/>
    <n v="0.33"/>
    <s v="South"/>
    <s v="CUST0144"/>
    <n v="2697.9"/>
  </r>
  <r>
    <n v="1445"/>
    <x v="173"/>
    <x v="1"/>
    <s v="Accessories"/>
    <n v="1203.6500000000001"/>
    <n v="5"/>
    <n v="7.0000000000000007E-2"/>
    <n v="0.35"/>
    <s v="North"/>
    <s v="CUST0213"/>
    <n v="6018.25"/>
  </r>
  <r>
    <n v="1446"/>
    <x v="172"/>
    <x v="1"/>
    <s v="Accessories"/>
    <n v="1471.62"/>
    <n v="3"/>
    <n v="0.22"/>
    <n v="0.28999999999999998"/>
    <s v="East"/>
    <s v="CUST0298"/>
    <n v="4414.8599999999997"/>
  </r>
  <r>
    <n v="1447"/>
    <x v="353"/>
    <x v="0"/>
    <s v="Electronics"/>
    <n v="1194"/>
    <n v="5"/>
    <n v="0.27"/>
    <n v="0.32"/>
    <s v="North"/>
    <s v="CUST0090"/>
    <n v="5970"/>
  </r>
  <r>
    <n v="1448"/>
    <x v="267"/>
    <x v="5"/>
    <s v="Electronics"/>
    <n v="1256.98"/>
    <n v="5"/>
    <n v="0.26"/>
    <n v="0.17"/>
    <s v="North"/>
    <s v="CUST0043"/>
    <n v="6284.9"/>
  </r>
  <r>
    <n v="1449"/>
    <x v="354"/>
    <x v="3"/>
    <s v="Accessories"/>
    <n v="1391.13"/>
    <n v="5"/>
    <n v="7.0000000000000007E-2"/>
    <n v="0.38"/>
    <s v="South"/>
    <s v="CUST0187"/>
    <n v="6955.6500000000005"/>
  </r>
  <r>
    <n v="1450"/>
    <x v="79"/>
    <x v="2"/>
    <s v="Accessories"/>
    <n v="762.03"/>
    <n v="3"/>
    <n v="0.14000000000000001"/>
    <n v="0.28000000000000003"/>
    <s v="North"/>
    <s v="CUST0138"/>
    <n v="2286.09"/>
  </r>
  <r>
    <n v="1451"/>
    <x v="44"/>
    <x v="5"/>
    <s v="Electronics"/>
    <n v="1456.57"/>
    <n v="1"/>
    <n v="0.28999999999999998"/>
    <n v="0.18"/>
    <s v="West"/>
    <s v="CUST0266"/>
    <n v="1456.57"/>
  </r>
  <r>
    <n v="1452"/>
    <x v="329"/>
    <x v="0"/>
    <s v="Electronics"/>
    <n v="1052.1300000000001"/>
    <n v="1"/>
    <n v="0.15"/>
    <n v="0.14000000000000001"/>
    <s v="North"/>
    <s v="CUST0218"/>
    <n v="1052.1300000000001"/>
  </r>
  <r>
    <n v="1453"/>
    <x v="21"/>
    <x v="0"/>
    <s v="Electronics"/>
    <n v="1131.6500000000001"/>
    <n v="1"/>
    <n v="0.16"/>
    <n v="0.28000000000000003"/>
    <s v="West"/>
    <s v="CUST0222"/>
    <n v="1131.6500000000001"/>
  </r>
  <r>
    <n v="1454"/>
    <x v="73"/>
    <x v="3"/>
    <s v="Accessories"/>
    <n v="406.59"/>
    <n v="1"/>
    <n v="0.21"/>
    <n v="0.21"/>
    <s v="South"/>
    <s v="CUST0035"/>
    <n v="406.59"/>
  </r>
  <r>
    <n v="1455"/>
    <x v="44"/>
    <x v="3"/>
    <s v="Accessories"/>
    <n v="442.75"/>
    <n v="2"/>
    <n v="7.0000000000000007E-2"/>
    <n v="0.2"/>
    <s v="East"/>
    <s v="CUST0031"/>
    <n v="885.5"/>
  </r>
  <r>
    <n v="1456"/>
    <x v="229"/>
    <x v="3"/>
    <s v="Accessories"/>
    <n v="619.96"/>
    <n v="5"/>
    <n v="0.06"/>
    <n v="0.35"/>
    <s v="East"/>
    <s v="CUST0131"/>
    <n v="3099.8"/>
  </r>
  <r>
    <n v="1457"/>
    <x v="224"/>
    <x v="0"/>
    <s v="Electronics"/>
    <n v="851.17"/>
    <n v="5"/>
    <n v="0.1"/>
    <n v="0.32"/>
    <s v="South"/>
    <s v="CUST0270"/>
    <n v="4255.8499999999995"/>
  </r>
  <r>
    <n v="1458"/>
    <x v="257"/>
    <x v="0"/>
    <s v="Electronics"/>
    <n v="33.65"/>
    <n v="4"/>
    <n v="0.19"/>
    <n v="0.39"/>
    <s v="North"/>
    <s v="CUST0136"/>
    <n v="134.6"/>
  </r>
  <r>
    <n v="1459"/>
    <x v="83"/>
    <x v="0"/>
    <s v="Electronics"/>
    <n v="1382.06"/>
    <n v="4"/>
    <n v="0.11"/>
    <n v="0.38"/>
    <s v="North"/>
    <s v="CUST0052"/>
    <n v="5528.24"/>
  </r>
  <r>
    <n v="1460"/>
    <x v="161"/>
    <x v="2"/>
    <s v="Accessories"/>
    <n v="1414.31"/>
    <n v="4"/>
    <n v="0.15"/>
    <n v="0.23"/>
    <s v="North"/>
    <s v="CUST0127"/>
    <n v="5657.24"/>
  </r>
  <r>
    <n v="1461"/>
    <x v="129"/>
    <x v="3"/>
    <s v="Accessories"/>
    <n v="719.28"/>
    <n v="1"/>
    <n v="0.09"/>
    <n v="0.17"/>
    <s v="South"/>
    <s v="CUST0137"/>
    <n v="719.28"/>
  </r>
  <r>
    <n v="1462"/>
    <x v="289"/>
    <x v="4"/>
    <s v="Electronics"/>
    <n v="469.95"/>
    <n v="3"/>
    <n v="0.26"/>
    <n v="0.32"/>
    <s v="East"/>
    <s v="CUST0155"/>
    <n v="1409.85"/>
  </r>
  <r>
    <n v="1463"/>
    <x v="310"/>
    <x v="3"/>
    <s v="Accessories"/>
    <n v="1365.87"/>
    <n v="4"/>
    <n v="0.08"/>
    <n v="0.38"/>
    <s v="East"/>
    <s v="CUST0015"/>
    <n v="5463.48"/>
  </r>
  <r>
    <n v="1464"/>
    <x v="335"/>
    <x v="1"/>
    <s v="Accessories"/>
    <n v="811.88"/>
    <n v="1"/>
    <n v="0.28000000000000003"/>
    <n v="0.16"/>
    <s v="North"/>
    <s v="CUST0298"/>
    <n v="811.88"/>
  </r>
  <r>
    <n v="1465"/>
    <x v="306"/>
    <x v="1"/>
    <s v="Accessories"/>
    <n v="796.85"/>
    <n v="2"/>
    <n v="0.08"/>
    <n v="0.35"/>
    <s v="South"/>
    <s v="CUST0289"/>
    <n v="1593.7"/>
  </r>
  <r>
    <n v="1466"/>
    <x v="115"/>
    <x v="3"/>
    <s v="Accessories"/>
    <n v="1406.44"/>
    <n v="3"/>
    <n v="0.06"/>
    <n v="0.13"/>
    <s v="North"/>
    <s v="CUST0182"/>
    <n v="4219.32"/>
  </r>
  <r>
    <n v="1467"/>
    <x v="244"/>
    <x v="3"/>
    <s v="Accessories"/>
    <n v="390.52"/>
    <n v="1"/>
    <n v="0.03"/>
    <n v="0.32"/>
    <s v="North"/>
    <s v="CUST0061"/>
    <n v="390.52"/>
  </r>
  <r>
    <n v="1468"/>
    <x v="92"/>
    <x v="3"/>
    <s v="Accessories"/>
    <n v="895.5"/>
    <n v="2"/>
    <n v="0.06"/>
    <n v="0.19"/>
    <s v="South"/>
    <s v="CUST0066"/>
    <n v="1791"/>
  </r>
  <r>
    <n v="1469"/>
    <x v="55"/>
    <x v="5"/>
    <s v="Electronics"/>
    <n v="624.39"/>
    <n v="3"/>
    <n v="0.16"/>
    <n v="0.35"/>
    <s v="South"/>
    <s v="CUST0043"/>
    <n v="1873.17"/>
  </r>
  <r>
    <n v="1470"/>
    <x v="290"/>
    <x v="2"/>
    <s v="Accessories"/>
    <n v="446.62"/>
    <n v="3"/>
    <n v="0.1"/>
    <n v="0.32"/>
    <s v="West"/>
    <s v="CUST0015"/>
    <n v="1339.8600000000001"/>
  </r>
  <r>
    <n v="1471"/>
    <x v="312"/>
    <x v="4"/>
    <s v="Electronics"/>
    <n v="1231.24"/>
    <n v="1"/>
    <n v="0.28000000000000003"/>
    <n v="0.38"/>
    <s v="North"/>
    <s v="CUST0083"/>
    <n v="1231.24"/>
  </r>
  <r>
    <n v="1472"/>
    <x v="355"/>
    <x v="3"/>
    <s v="Accessories"/>
    <n v="523.54999999999995"/>
    <n v="5"/>
    <n v="0.03"/>
    <n v="0.23"/>
    <s v="West"/>
    <s v="CUST0143"/>
    <n v="2617.75"/>
  </r>
  <r>
    <n v="1473"/>
    <x v="127"/>
    <x v="4"/>
    <s v="Electronics"/>
    <n v="359.43"/>
    <n v="3"/>
    <n v="0.15"/>
    <n v="0.37"/>
    <s v="North"/>
    <s v="CUST0118"/>
    <n v="1078.29"/>
  </r>
  <r>
    <n v="1474"/>
    <x v="88"/>
    <x v="0"/>
    <s v="Electronics"/>
    <n v="758.86"/>
    <n v="5"/>
    <n v="0.27"/>
    <n v="0.37"/>
    <s v="South"/>
    <s v="CUST0251"/>
    <n v="3794.3"/>
  </r>
  <r>
    <n v="1475"/>
    <x v="271"/>
    <x v="5"/>
    <s v="Electronics"/>
    <n v="1341.05"/>
    <n v="2"/>
    <n v="0.03"/>
    <n v="0.36"/>
    <s v="North"/>
    <s v="CUST0157"/>
    <n v="2682.1"/>
  </r>
  <r>
    <n v="1476"/>
    <x v="291"/>
    <x v="2"/>
    <s v="Accessories"/>
    <n v="288.04000000000002"/>
    <n v="4"/>
    <n v="0.13"/>
    <n v="0.18"/>
    <s v="North"/>
    <s v="CUST0282"/>
    <n v="1152.1600000000001"/>
  </r>
  <r>
    <n v="1477"/>
    <x v="314"/>
    <x v="0"/>
    <s v="Electronics"/>
    <n v="224.09"/>
    <n v="3"/>
    <n v="0.17"/>
    <n v="0.21"/>
    <s v="West"/>
    <s v="CUST0261"/>
    <n v="672.27"/>
  </r>
  <r>
    <n v="1478"/>
    <x v="157"/>
    <x v="0"/>
    <s v="Electronics"/>
    <n v="1126.02"/>
    <n v="5"/>
    <n v="0.23"/>
    <n v="0.2"/>
    <s v="East"/>
    <s v="CUST0227"/>
    <n v="5630.1"/>
  </r>
  <r>
    <n v="1479"/>
    <x v="168"/>
    <x v="5"/>
    <s v="Electronics"/>
    <n v="606.96"/>
    <n v="1"/>
    <n v="0.04"/>
    <n v="0.2"/>
    <s v="South"/>
    <s v="CUST0278"/>
    <n v="606.96"/>
  </r>
  <r>
    <n v="1480"/>
    <x v="226"/>
    <x v="2"/>
    <s v="Accessories"/>
    <n v="1313.13"/>
    <n v="3"/>
    <n v="0.02"/>
    <n v="0.14000000000000001"/>
    <s v="North"/>
    <s v="CUST0147"/>
    <n v="3939.3900000000003"/>
  </r>
  <r>
    <n v="1481"/>
    <x v="286"/>
    <x v="3"/>
    <s v="Accessories"/>
    <n v="959.83"/>
    <n v="2"/>
    <n v="0.01"/>
    <n v="0.18"/>
    <s v="North"/>
    <s v="CUST0089"/>
    <n v="1919.66"/>
  </r>
  <r>
    <n v="1482"/>
    <x v="320"/>
    <x v="4"/>
    <s v="Electronics"/>
    <n v="368.95"/>
    <n v="3"/>
    <n v="0.01"/>
    <n v="0.26"/>
    <s v="East"/>
    <s v="CUST0286"/>
    <n v="1106.8499999999999"/>
  </r>
  <r>
    <n v="1483"/>
    <x v="109"/>
    <x v="0"/>
    <s v="Electronics"/>
    <n v="48.78"/>
    <n v="2"/>
    <n v="0.11"/>
    <n v="0.26"/>
    <s v="East"/>
    <s v="CUST0047"/>
    <n v="97.56"/>
  </r>
  <r>
    <n v="1484"/>
    <x v="103"/>
    <x v="2"/>
    <s v="Accessories"/>
    <n v="1190.44"/>
    <n v="4"/>
    <n v="0.2"/>
    <n v="0.34"/>
    <s v="South"/>
    <s v="CUST0283"/>
    <n v="4761.76"/>
  </r>
  <r>
    <n v="1485"/>
    <x v="113"/>
    <x v="4"/>
    <s v="Electronics"/>
    <n v="736.38"/>
    <n v="2"/>
    <n v="0.2"/>
    <n v="0.21"/>
    <s v="North"/>
    <s v="CUST0222"/>
    <n v="1472.76"/>
  </r>
  <r>
    <n v="1486"/>
    <x v="332"/>
    <x v="3"/>
    <s v="Accessories"/>
    <n v="589.16"/>
    <n v="1"/>
    <n v="0.17"/>
    <n v="0.32"/>
    <s v="South"/>
    <s v="CUST0290"/>
    <n v="589.16"/>
  </r>
  <r>
    <n v="1487"/>
    <x v="8"/>
    <x v="3"/>
    <s v="Accessories"/>
    <n v="360.13"/>
    <n v="2"/>
    <n v="0.26"/>
    <n v="0.34"/>
    <s v="South"/>
    <s v="CUST0072"/>
    <n v="720.26"/>
  </r>
  <r>
    <n v="1488"/>
    <x v="271"/>
    <x v="1"/>
    <s v="Accessories"/>
    <n v="829"/>
    <n v="4"/>
    <n v="7.0000000000000007E-2"/>
    <n v="0.2"/>
    <s v="West"/>
    <s v="CUST0114"/>
    <n v="3316"/>
  </r>
  <r>
    <n v="1489"/>
    <x v="162"/>
    <x v="5"/>
    <s v="Electronics"/>
    <n v="672.03"/>
    <n v="2"/>
    <n v="0.25"/>
    <n v="0.36"/>
    <s v="West"/>
    <s v="CUST0238"/>
    <n v="1344.06"/>
  </r>
  <r>
    <n v="1490"/>
    <x v="150"/>
    <x v="5"/>
    <s v="Electronics"/>
    <n v="252.1"/>
    <n v="5"/>
    <n v="0.18"/>
    <n v="0.37"/>
    <s v="South"/>
    <s v="CUST0027"/>
    <n v="1260.5"/>
  </r>
  <r>
    <n v="1491"/>
    <x v="18"/>
    <x v="0"/>
    <s v="Electronics"/>
    <n v="1124.96"/>
    <n v="5"/>
    <n v="0.18"/>
    <n v="0.13"/>
    <s v="East"/>
    <s v="CUST0260"/>
    <n v="5624.8"/>
  </r>
  <r>
    <n v="1492"/>
    <x v="319"/>
    <x v="0"/>
    <s v="Electronics"/>
    <n v="50.5"/>
    <n v="5"/>
    <n v="0.28999999999999998"/>
    <n v="0.34"/>
    <s v="North"/>
    <s v="CUST0170"/>
    <n v="252.5"/>
  </r>
  <r>
    <n v="1493"/>
    <x v="245"/>
    <x v="1"/>
    <s v="Accessories"/>
    <n v="31.06"/>
    <n v="3"/>
    <n v="0.28000000000000003"/>
    <n v="0.2"/>
    <s v="South"/>
    <s v="CUST0248"/>
    <n v="93.179999999999993"/>
  </r>
  <r>
    <n v="1494"/>
    <x v="15"/>
    <x v="2"/>
    <s v="Accessories"/>
    <n v="1005.06"/>
    <n v="5"/>
    <n v="0.28000000000000003"/>
    <n v="0.1"/>
    <s v="South"/>
    <s v="CUST0211"/>
    <n v="5025.2999999999993"/>
  </r>
  <r>
    <n v="1495"/>
    <x v="9"/>
    <x v="3"/>
    <s v="Accessories"/>
    <n v="1409.21"/>
    <n v="1"/>
    <n v="0.23"/>
    <n v="0.34"/>
    <s v="North"/>
    <s v="CUST0074"/>
    <n v="1409.21"/>
  </r>
  <r>
    <n v="1496"/>
    <x v="223"/>
    <x v="1"/>
    <s v="Accessories"/>
    <n v="1296.22"/>
    <n v="5"/>
    <n v="0.22"/>
    <n v="0.36"/>
    <s v="South"/>
    <s v="CUST0220"/>
    <n v="6481.1"/>
  </r>
  <r>
    <n v="1497"/>
    <x v="122"/>
    <x v="3"/>
    <s v="Accessories"/>
    <n v="1127.71"/>
    <n v="3"/>
    <n v="0.12"/>
    <n v="0.19"/>
    <s v="West"/>
    <s v="CUST0056"/>
    <n v="3383.13"/>
  </r>
  <r>
    <n v="1498"/>
    <x v="11"/>
    <x v="5"/>
    <s v="Electronics"/>
    <n v="473.85"/>
    <n v="4"/>
    <n v="0.13"/>
    <n v="0.35"/>
    <s v="East"/>
    <s v="CUST0150"/>
    <n v="1895.4"/>
  </r>
  <r>
    <n v="1499"/>
    <x v="223"/>
    <x v="0"/>
    <s v="Electronics"/>
    <n v="1498.83"/>
    <n v="4"/>
    <n v="0.02"/>
    <n v="0.28000000000000003"/>
    <s v="South"/>
    <s v="CUST0268"/>
    <n v="5995.32"/>
  </r>
  <r>
    <n v="1500"/>
    <x v="90"/>
    <x v="0"/>
    <s v="Electronics"/>
    <n v="266.99"/>
    <n v="2"/>
    <n v="0.24"/>
    <n v="0.37"/>
    <s v="North"/>
    <s v="CUST0189"/>
    <n v="533.9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B10" firstHeaderRow="1" firstDataRow="1" firstDataCol="1"/>
  <pivotFields count="11">
    <pivotField showAll="0"/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 sortType="descending">
      <items count="7">
        <item x="3"/>
        <item x="2"/>
        <item x="5"/>
        <item x="0"/>
        <item x="1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2"/>
  </rowFields>
  <rowItems count="7">
    <i>
      <x v="1"/>
    </i>
    <i>
      <x v="4"/>
    </i>
    <i>
      <x/>
    </i>
    <i>
      <x v="3"/>
    </i>
    <i>
      <x v="5"/>
    </i>
    <i>
      <x v="2"/>
    </i>
    <i t="grand">
      <x/>
    </i>
  </rowItems>
  <colItems count="1">
    <i/>
  </colItems>
  <dataFields count="1">
    <dataField name="Sum of revenue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B16" firstHeaderRow="1" firstDataRow="1" firstDataCol="1"/>
  <pivotFields count="11">
    <pivotField showAll="0"/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1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revenue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L1495:M1500" firstHeaderRow="1" firstDataRow="1" firstDataCol="1"/>
  <pivotFields count="11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0"/>
        <item x="1"/>
        <item x="2"/>
        <item t="default"/>
      </items>
    </pivotField>
    <pivotField showAll="0"/>
    <pivotField dataField="1" showAll="0"/>
  </pivotFields>
  <rowFields count="1">
    <field x="8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revenue" fld="10" baseField="8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0"/>
  <sheetViews>
    <sheetView workbookViewId="0">
      <selection activeCell="B3" sqref="B3"/>
    </sheetView>
  </sheetViews>
  <sheetFormatPr defaultRowHeight="13.5"/>
  <cols>
    <col min="1" max="1" width="12.875" bestFit="1" customWidth="1"/>
    <col min="2" max="2" width="14.4375" bestFit="1" customWidth="1"/>
  </cols>
  <sheetData>
    <row r="3" spans="1:2">
      <c r="A3" s="2" t="s">
        <v>321</v>
      </c>
      <c r="B3" t="s">
        <v>323</v>
      </c>
    </row>
    <row r="4" spans="1:2">
      <c r="A4" s="3" t="s">
        <v>20</v>
      </c>
      <c r="B4" s="4">
        <v>678941.50000000023</v>
      </c>
    </row>
    <row r="5" spans="1:2">
      <c r="A5" s="3" t="s">
        <v>14</v>
      </c>
      <c r="B5" s="4">
        <v>656751.60999999987</v>
      </c>
    </row>
    <row r="6" spans="1:2">
      <c r="A6" s="3" t="s">
        <v>23</v>
      </c>
      <c r="B6" s="4">
        <v>595687.45999999973</v>
      </c>
    </row>
    <row r="7" spans="1:2">
      <c r="A7" s="3" t="s">
        <v>10</v>
      </c>
      <c r="B7" s="4">
        <v>573146.79000000015</v>
      </c>
    </row>
    <row r="8" spans="1:2">
      <c r="A8" s="3" t="s">
        <v>26</v>
      </c>
      <c r="B8" s="4">
        <v>553823.70999999985</v>
      </c>
    </row>
    <row r="9" spans="1:2">
      <c r="A9" s="3" t="s">
        <v>31</v>
      </c>
      <c r="B9" s="4">
        <v>469133.41000000015</v>
      </c>
    </row>
    <row r="10" spans="1:2">
      <c r="A10" s="3" t="s">
        <v>322</v>
      </c>
      <c r="B10" s="4">
        <v>3527484.48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6"/>
  <sheetViews>
    <sheetView workbookViewId="0">
      <selection activeCell="A16" sqref="A16"/>
    </sheetView>
  </sheetViews>
  <sheetFormatPr defaultRowHeight="13.5"/>
  <cols>
    <col min="1" max="1" width="12.875" bestFit="1" customWidth="1"/>
    <col min="2" max="2" width="14.4375" bestFit="1" customWidth="1"/>
  </cols>
  <sheetData>
    <row r="3" spans="1:2">
      <c r="A3" s="2" t="s">
        <v>321</v>
      </c>
      <c r="B3" t="s">
        <v>323</v>
      </c>
    </row>
    <row r="4" spans="1:2">
      <c r="A4" s="5" t="s">
        <v>324</v>
      </c>
      <c r="B4" s="4">
        <v>334239.74999999983</v>
      </c>
    </row>
    <row r="5" spans="1:2">
      <c r="A5" s="5" t="s">
        <v>325</v>
      </c>
      <c r="B5" s="4">
        <v>248593.99999999991</v>
      </c>
    </row>
    <row r="6" spans="1:2">
      <c r="A6" s="5" t="s">
        <v>326</v>
      </c>
      <c r="B6" s="4">
        <v>304021.77</v>
      </c>
    </row>
    <row r="7" spans="1:2">
      <c r="A7" s="5" t="s">
        <v>327</v>
      </c>
      <c r="B7" s="4">
        <v>329451.57</v>
      </c>
    </row>
    <row r="8" spans="1:2">
      <c r="A8" s="5" t="s">
        <v>328</v>
      </c>
      <c r="B8" s="4">
        <v>316199.96000000002</v>
      </c>
    </row>
    <row r="9" spans="1:2">
      <c r="A9" s="5" t="s">
        <v>329</v>
      </c>
      <c r="B9" s="4">
        <v>341751.59000000014</v>
      </c>
    </row>
    <row r="10" spans="1:2">
      <c r="A10" s="5" t="s">
        <v>330</v>
      </c>
      <c r="B10" s="4">
        <v>293544.83000000007</v>
      </c>
    </row>
    <row r="11" spans="1:2">
      <c r="A11" s="5" t="s">
        <v>331</v>
      </c>
      <c r="B11" s="4">
        <v>277543.56000000006</v>
      </c>
    </row>
    <row r="12" spans="1:2">
      <c r="A12" s="5" t="s">
        <v>332</v>
      </c>
      <c r="B12" s="4">
        <v>257912.97</v>
      </c>
    </row>
    <row r="13" spans="1:2">
      <c r="A13" s="5" t="s">
        <v>333</v>
      </c>
      <c r="B13" s="4">
        <v>321572.23999999982</v>
      </c>
    </row>
    <row r="14" spans="1:2">
      <c r="A14" s="5" t="s">
        <v>334</v>
      </c>
      <c r="B14" s="4">
        <v>233806.18</v>
      </c>
    </row>
    <row r="15" spans="1:2">
      <c r="A15" s="5" t="s">
        <v>335</v>
      </c>
      <c r="B15" s="4">
        <v>268846.06</v>
      </c>
    </row>
    <row r="16" spans="1:2">
      <c r="A16" s="5" t="s">
        <v>322</v>
      </c>
      <c r="B16" s="4">
        <v>3527484.48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502"/>
  <sheetViews>
    <sheetView tabSelected="1" topLeftCell="A1469" workbookViewId="0">
      <selection activeCell="A1470" sqref="A1470"/>
    </sheetView>
  </sheetViews>
  <sheetFormatPr defaultRowHeight="13.5"/>
  <cols>
    <col min="2" max="2" width="10.4375" bestFit="1" customWidth="1"/>
    <col min="12" max="12" width="12.875" customWidth="1"/>
    <col min="13" max="13" width="14.437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320</v>
      </c>
    </row>
    <row r="2" spans="1:11">
      <c r="A2">
        <v>1</v>
      </c>
      <c r="B2" s="1">
        <v>45312</v>
      </c>
      <c r="C2" t="s">
        <v>10</v>
      </c>
      <c r="D2" t="s">
        <v>11</v>
      </c>
      <c r="E2">
        <v>577.45000000000005</v>
      </c>
      <c r="F2">
        <v>5</v>
      </c>
      <c r="G2">
        <v>0.06</v>
      </c>
      <c r="H2">
        <v>0.33</v>
      </c>
      <c r="I2" t="s">
        <v>12</v>
      </c>
      <c r="J2" t="s">
        <v>13</v>
      </c>
      <c r="K2">
        <f>E2*F2</f>
        <v>2887.25</v>
      </c>
    </row>
    <row r="3" spans="1:11">
      <c r="A3">
        <v>2</v>
      </c>
      <c r="B3" s="1">
        <v>45391</v>
      </c>
      <c r="C3" t="s">
        <v>14</v>
      </c>
      <c r="D3" t="s">
        <v>15</v>
      </c>
      <c r="E3">
        <v>255.13</v>
      </c>
      <c r="F3">
        <v>3</v>
      </c>
      <c r="G3">
        <v>0.03</v>
      </c>
      <c r="H3">
        <v>0.24</v>
      </c>
      <c r="I3" t="s">
        <v>16</v>
      </c>
      <c r="J3" t="s">
        <v>17</v>
      </c>
      <c r="K3">
        <f>E3*F3</f>
        <v>765.39</v>
      </c>
    </row>
    <row r="4" spans="1:11">
      <c r="A4">
        <v>3</v>
      </c>
      <c r="B4" s="1">
        <v>45585</v>
      </c>
      <c r="C4" t="s">
        <v>14</v>
      </c>
      <c r="D4" t="s">
        <v>15</v>
      </c>
      <c r="E4">
        <v>235.73</v>
      </c>
      <c r="F4">
        <v>3</v>
      </c>
      <c r="G4">
        <v>0.01</v>
      </c>
      <c r="H4">
        <v>0.39</v>
      </c>
      <c r="I4" t="s">
        <v>16</v>
      </c>
      <c r="J4" t="s">
        <v>18</v>
      </c>
      <c r="K4">
        <f t="shared" ref="K4:K67" si="0">E4*F4</f>
        <v>707.18999999999994</v>
      </c>
    </row>
    <row r="5" spans="1:11">
      <c r="A5">
        <v>4</v>
      </c>
      <c r="B5" s="1">
        <v>45313</v>
      </c>
      <c r="C5" t="s">
        <v>14</v>
      </c>
      <c r="D5" t="s">
        <v>15</v>
      </c>
      <c r="E5">
        <v>26.15</v>
      </c>
      <c r="F5">
        <v>4</v>
      </c>
      <c r="G5">
        <v>0.06</v>
      </c>
      <c r="H5">
        <v>0.19</v>
      </c>
      <c r="I5" t="s">
        <v>12</v>
      </c>
      <c r="J5" t="s">
        <v>19</v>
      </c>
      <c r="K5">
        <f t="shared" si="0"/>
        <v>104.6</v>
      </c>
    </row>
    <row r="6" spans="1:11">
      <c r="A6">
        <v>5</v>
      </c>
      <c r="B6" s="1">
        <v>45461</v>
      </c>
      <c r="C6" t="s">
        <v>20</v>
      </c>
      <c r="D6" t="s">
        <v>15</v>
      </c>
      <c r="E6">
        <v>35.42</v>
      </c>
      <c r="F6">
        <v>1</v>
      </c>
      <c r="G6">
        <v>0.09</v>
      </c>
      <c r="H6">
        <v>0.28000000000000003</v>
      </c>
      <c r="I6" t="s">
        <v>21</v>
      </c>
      <c r="J6" t="s">
        <v>22</v>
      </c>
      <c r="K6">
        <f t="shared" si="0"/>
        <v>35.42</v>
      </c>
    </row>
    <row r="7" spans="1:11">
      <c r="A7">
        <v>6</v>
      </c>
      <c r="B7" s="1">
        <v>45466</v>
      </c>
      <c r="C7" t="s">
        <v>23</v>
      </c>
      <c r="D7" t="s">
        <v>15</v>
      </c>
      <c r="E7">
        <v>93.83</v>
      </c>
      <c r="F7">
        <v>4</v>
      </c>
      <c r="G7">
        <v>0.11</v>
      </c>
      <c r="H7">
        <v>0.24</v>
      </c>
      <c r="I7" t="s">
        <v>24</v>
      </c>
      <c r="J7" t="s">
        <v>25</v>
      </c>
      <c r="K7">
        <f t="shared" si="0"/>
        <v>375.32</v>
      </c>
    </row>
    <row r="8" spans="1:11">
      <c r="A8">
        <v>7</v>
      </c>
      <c r="B8" s="1">
        <v>45422</v>
      </c>
      <c r="C8" t="s">
        <v>26</v>
      </c>
      <c r="D8" t="s">
        <v>11</v>
      </c>
      <c r="E8">
        <v>937.12</v>
      </c>
      <c r="F8">
        <v>4</v>
      </c>
      <c r="G8">
        <v>0.15</v>
      </c>
      <c r="H8">
        <v>0.28000000000000003</v>
      </c>
      <c r="I8" t="s">
        <v>24</v>
      </c>
      <c r="J8" t="s">
        <v>27</v>
      </c>
      <c r="K8">
        <f t="shared" si="0"/>
        <v>3748.48</v>
      </c>
    </row>
    <row r="9" spans="1:11">
      <c r="A9">
        <v>8</v>
      </c>
      <c r="B9" s="1">
        <v>45380</v>
      </c>
      <c r="C9" t="s">
        <v>10</v>
      </c>
      <c r="D9" t="s">
        <v>11</v>
      </c>
      <c r="E9">
        <v>1293.4100000000001</v>
      </c>
      <c r="F9">
        <v>5</v>
      </c>
      <c r="G9">
        <v>0.14000000000000001</v>
      </c>
      <c r="H9">
        <v>0.1</v>
      </c>
      <c r="I9" t="s">
        <v>24</v>
      </c>
      <c r="J9" t="s">
        <v>28</v>
      </c>
      <c r="K9">
        <f t="shared" si="0"/>
        <v>6467.05</v>
      </c>
    </row>
    <row r="10" spans="1:11">
      <c r="A10">
        <v>9</v>
      </c>
      <c r="B10" s="1">
        <v>45631</v>
      </c>
      <c r="C10" t="s">
        <v>10</v>
      </c>
      <c r="D10" t="s">
        <v>11</v>
      </c>
      <c r="E10">
        <v>1449.31</v>
      </c>
      <c r="F10">
        <v>2</v>
      </c>
      <c r="G10">
        <v>0.12</v>
      </c>
      <c r="H10">
        <v>0.1</v>
      </c>
      <c r="I10" t="s">
        <v>16</v>
      </c>
      <c r="J10" t="s">
        <v>29</v>
      </c>
      <c r="K10">
        <f t="shared" si="0"/>
        <v>2898.62</v>
      </c>
    </row>
    <row r="11" spans="1:11">
      <c r="A11">
        <v>10</v>
      </c>
      <c r="B11" s="1">
        <v>45326</v>
      </c>
      <c r="C11" t="s">
        <v>20</v>
      </c>
      <c r="D11" t="s">
        <v>15</v>
      </c>
      <c r="E11">
        <v>380.51</v>
      </c>
      <c r="F11">
        <v>4</v>
      </c>
      <c r="G11">
        <v>0.04</v>
      </c>
      <c r="H11">
        <v>0.25</v>
      </c>
      <c r="I11" t="s">
        <v>24</v>
      </c>
      <c r="J11" t="s">
        <v>30</v>
      </c>
      <c r="K11">
        <f t="shared" si="0"/>
        <v>1522.04</v>
      </c>
    </row>
    <row r="12" spans="1:11">
      <c r="A12">
        <v>11</v>
      </c>
      <c r="B12" s="1">
        <v>45345</v>
      </c>
      <c r="C12" t="s">
        <v>31</v>
      </c>
      <c r="D12" t="s">
        <v>11</v>
      </c>
      <c r="E12">
        <v>1366.25</v>
      </c>
      <c r="F12">
        <v>4</v>
      </c>
      <c r="G12">
        <v>0.05</v>
      </c>
      <c r="H12">
        <v>0.33</v>
      </c>
      <c r="I12" t="s">
        <v>16</v>
      </c>
      <c r="J12" t="s">
        <v>30</v>
      </c>
      <c r="K12">
        <f t="shared" si="0"/>
        <v>5465</v>
      </c>
    </row>
    <row r="13" spans="1:11">
      <c r="A13">
        <v>12</v>
      </c>
      <c r="B13" s="1">
        <v>45453</v>
      </c>
      <c r="C13" t="s">
        <v>26</v>
      </c>
      <c r="D13" t="s">
        <v>11</v>
      </c>
      <c r="E13">
        <v>831.4</v>
      </c>
      <c r="F13">
        <v>5</v>
      </c>
      <c r="G13">
        <v>0.28999999999999998</v>
      </c>
      <c r="H13">
        <v>0.33</v>
      </c>
      <c r="I13" t="s">
        <v>21</v>
      </c>
      <c r="J13" t="s">
        <v>32</v>
      </c>
      <c r="K13">
        <f t="shared" si="0"/>
        <v>4157</v>
      </c>
    </row>
    <row r="14" spans="1:11">
      <c r="A14">
        <v>13</v>
      </c>
      <c r="B14" s="1">
        <v>45506</v>
      </c>
      <c r="C14" t="s">
        <v>10</v>
      </c>
      <c r="D14" t="s">
        <v>11</v>
      </c>
      <c r="E14">
        <v>607.85</v>
      </c>
      <c r="F14">
        <v>4</v>
      </c>
      <c r="G14">
        <v>0.18</v>
      </c>
      <c r="H14">
        <v>0.38</v>
      </c>
      <c r="I14" t="s">
        <v>16</v>
      </c>
      <c r="J14" t="s">
        <v>33</v>
      </c>
      <c r="K14">
        <f t="shared" si="0"/>
        <v>2431.4</v>
      </c>
    </row>
    <row r="15" spans="1:11">
      <c r="A15">
        <v>14</v>
      </c>
      <c r="B15" s="1">
        <v>45344</v>
      </c>
      <c r="C15" t="s">
        <v>14</v>
      </c>
      <c r="D15" t="s">
        <v>15</v>
      </c>
      <c r="E15">
        <v>793.23</v>
      </c>
      <c r="F15">
        <v>5</v>
      </c>
      <c r="G15">
        <v>0.12</v>
      </c>
      <c r="H15">
        <v>0.18</v>
      </c>
      <c r="I15" t="s">
        <v>12</v>
      </c>
      <c r="J15" t="s">
        <v>34</v>
      </c>
      <c r="K15">
        <f t="shared" si="0"/>
        <v>3966.15</v>
      </c>
    </row>
    <row r="16" spans="1:11">
      <c r="A16">
        <v>15</v>
      </c>
      <c r="B16" s="1">
        <v>45332</v>
      </c>
      <c r="C16" t="s">
        <v>31</v>
      </c>
      <c r="D16" t="s">
        <v>11</v>
      </c>
      <c r="E16">
        <v>890.46</v>
      </c>
      <c r="F16">
        <v>1</v>
      </c>
      <c r="G16">
        <v>0.08</v>
      </c>
      <c r="H16">
        <v>0.26</v>
      </c>
      <c r="I16" t="s">
        <v>21</v>
      </c>
      <c r="J16" t="s">
        <v>35</v>
      </c>
      <c r="K16">
        <f t="shared" si="0"/>
        <v>890.46</v>
      </c>
    </row>
    <row r="17" spans="1:11">
      <c r="A17">
        <v>16</v>
      </c>
      <c r="B17" s="1">
        <v>45635</v>
      </c>
      <c r="C17" t="s">
        <v>20</v>
      </c>
      <c r="D17" t="s">
        <v>15</v>
      </c>
      <c r="E17">
        <v>462</v>
      </c>
      <c r="F17">
        <v>5</v>
      </c>
      <c r="G17">
        <v>0.02</v>
      </c>
      <c r="H17">
        <v>0.4</v>
      </c>
      <c r="I17" t="s">
        <v>21</v>
      </c>
      <c r="J17" t="s">
        <v>36</v>
      </c>
      <c r="K17">
        <f t="shared" si="0"/>
        <v>2310</v>
      </c>
    </row>
    <row r="18" spans="1:11">
      <c r="A18">
        <v>17</v>
      </c>
      <c r="B18" s="1">
        <v>45580</v>
      </c>
      <c r="C18" t="s">
        <v>10</v>
      </c>
      <c r="D18" t="s">
        <v>11</v>
      </c>
      <c r="E18">
        <v>607.45000000000005</v>
      </c>
      <c r="F18">
        <v>3</v>
      </c>
      <c r="G18">
        <v>0.06</v>
      </c>
      <c r="H18">
        <v>0.31</v>
      </c>
      <c r="I18" t="s">
        <v>24</v>
      </c>
      <c r="J18" t="s">
        <v>37</v>
      </c>
      <c r="K18">
        <f t="shared" si="0"/>
        <v>1822.3500000000001</v>
      </c>
    </row>
    <row r="19" spans="1:11">
      <c r="A19">
        <v>18</v>
      </c>
      <c r="B19" s="1">
        <v>45426</v>
      </c>
      <c r="C19" t="s">
        <v>26</v>
      </c>
      <c r="D19" t="s">
        <v>11</v>
      </c>
      <c r="E19">
        <v>918.79</v>
      </c>
      <c r="F19">
        <v>2</v>
      </c>
      <c r="G19">
        <v>0.11</v>
      </c>
      <c r="H19">
        <v>0.13</v>
      </c>
      <c r="I19" t="s">
        <v>21</v>
      </c>
      <c r="J19" t="s">
        <v>35</v>
      </c>
      <c r="K19">
        <f t="shared" si="0"/>
        <v>1837.58</v>
      </c>
    </row>
    <row r="20" spans="1:11">
      <c r="A20">
        <v>19</v>
      </c>
      <c r="B20" s="1">
        <v>45353</v>
      </c>
      <c r="C20" t="s">
        <v>23</v>
      </c>
      <c r="D20" t="s">
        <v>15</v>
      </c>
      <c r="E20">
        <v>1278.81</v>
      </c>
      <c r="F20">
        <v>4</v>
      </c>
      <c r="G20">
        <v>0.1</v>
      </c>
      <c r="H20">
        <v>0.12</v>
      </c>
      <c r="I20" t="s">
        <v>24</v>
      </c>
      <c r="J20" t="s">
        <v>38</v>
      </c>
      <c r="K20">
        <f t="shared" si="0"/>
        <v>5115.24</v>
      </c>
    </row>
    <row r="21" spans="1:11">
      <c r="A21">
        <v>20</v>
      </c>
      <c r="B21" s="1">
        <v>45326</v>
      </c>
      <c r="C21" t="s">
        <v>10</v>
      </c>
      <c r="D21" t="s">
        <v>11</v>
      </c>
      <c r="E21">
        <v>504.65</v>
      </c>
      <c r="F21">
        <v>3</v>
      </c>
      <c r="G21">
        <v>0.18</v>
      </c>
      <c r="H21">
        <v>0.18</v>
      </c>
      <c r="I21" t="s">
        <v>16</v>
      </c>
      <c r="J21" t="s">
        <v>39</v>
      </c>
      <c r="K21">
        <f t="shared" si="0"/>
        <v>1513.9499999999998</v>
      </c>
    </row>
    <row r="22" spans="1:11">
      <c r="A22">
        <v>21</v>
      </c>
      <c r="B22" s="1">
        <v>45296</v>
      </c>
      <c r="C22" t="s">
        <v>14</v>
      </c>
      <c r="D22" t="s">
        <v>15</v>
      </c>
      <c r="E22">
        <v>721.52</v>
      </c>
      <c r="F22">
        <v>5</v>
      </c>
      <c r="G22">
        <v>0.28999999999999998</v>
      </c>
      <c r="H22">
        <v>0.35</v>
      </c>
      <c r="I22" t="s">
        <v>21</v>
      </c>
      <c r="J22" t="s">
        <v>40</v>
      </c>
      <c r="K22">
        <f t="shared" si="0"/>
        <v>3607.6</v>
      </c>
    </row>
    <row r="23" spans="1:11">
      <c r="A23">
        <v>22</v>
      </c>
      <c r="B23" s="1">
        <v>45333</v>
      </c>
      <c r="C23" t="s">
        <v>20</v>
      </c>
      <c r="D23" t="s">
        <v>15</v>
      </c>
      <c r="E23">
        <v>852.88</v>
      </c>
      <c r="F23">
        <v>3</v>
      </c>
      <c r="G23">
        <v>0.16</v>
      </c>
      <c r="H23">
        <v>0.23</v>
      </c>
      <c r="I23" t="s">
        <v>16</v>
      </c>
      <c r="J23" t="s">
        <v>41</v>
      </c>
      <c r="K23">
        <f t="shared" si="0"/>
        <v>2558.64</v>
      </c>
    </row>
    <row r="24" spans="1:11">
      <c r="A24">
        <v>23</v>
      </c>
      <c r="B24" s="1">
        <v>45343</v>
      </c>
      <c r="C24" t="s">
        <v>31</v>
      </c>
      <c r="D24" t="s">
        <v>11</v>
      </c>
      <c r="E24">
        <v>673.02</v>
      </c>
      <c r="F24">
        <v>3</v>
      </c>
      <c r="G24">
        <v>0.01</v>
      </c>
      <c r="H24">
        <v>0.28999999999999998</v>
      </c>
      <c r="I24" t="s">
        <v>21</v>
      </c>
      <c r="J24" t="s">
        <v>42</v>
      </c>
      <c r="K24">
        <f t="shared" si="0"/>
        <v>2019.06</v>
      </c>
    </row>
    <row r="25" spans="1:11">
      <c r="A25">
        <v>24</v>
      </c>
      <c r="B25" s="1">
        <v>45528</v>
      </c>
      <c r="C25" t="s">
        <v>20</v>
      </c>
      <c r="D25" t="s">
        <v>15</v>
      </c>
      <c r="E25">
        <v>855.83</v>
      </c>
      <c r="F25">
        <v>4</v>
      </c>
      <c r="G25">
        <v>0.27</v>
      </c>
      <c r="H25">
        <v>0.17</v>
      </c>
      <c r="I25" t="s">
        <v>16</v>
      </c>
      <c r="J25" t="s">
        <v>43</v>
      </c>
      <c r="K25">
        <f t="shared" si="0"/>
        <v>3423.32</v>
      </c>
    </row>
    <row r="26" spans="1:11">
      <c r="A26">
        <v>25</v>
      </c>
      <c r="B26" s="1">
        <v>45478</v>
      </c>
      <c r="C26" t="s">
        <v>20</v>
      </c>
      <c r="D26" t="s">
        <v>15</v>
      </c>
      <c r="E26">
        <v>821.27</v>
      </c>
      <c r="F26">
        <v>5</v>
      </c>
      <c r="G26">
        <v>7.0000000000000007E-2</v>
      </c>
      <c r="H26">
        <v>0.12</v>
      </c>
      <c r="I26" t="s">
        <v>24</v>
      </c>
      <c r="J26" t="s">
        <v>44</v>
      </c>
      <c r="K26">
        <f t="shared" si="0"/>
        <v>4106.3500000000004</v>
      </c>
    </row>
    <row r="27" spans="1:11">
      <c r="A27">
        <v>26</v>
      </c>
      <c r="B27" s="1">
        <v>45425</v>
      </c>
      <c r="C27" t="s">
        <v>10</v>
      </c>
      <c r="D27" t="s">
        <v>11</v>
      </c>
      <c r="E27">
        <v>1049.81</v>
      </c>
      <c r="F27">
        <v>4</v>
      </c>
      <c r="G27">
        <v>0.28000000000000003</v>
      </c>
      <c r="H27">
        <v>0.34</v>
      </c>
      <c r="I27" t="s">
        <v>16</v>
      </c>
      <c r="J27" t="s">
        <v>45</v>
      </c>
      <c r="K27">
        <f t="shared" si="0"/>
        <v>4199.24</v>
      </c>
    </row>
    <row r="28" spans="1:11">
      <c r="A28">
        <v>27</v>
      </c>
      <c r="B28" s="1">
        <v>45622</v>
      </c>
      <c r="C28" t="s">
        <v>23</v>
      </c>
      <c r="D28" t="s">
        <v>15</v>
      </c>
      <c r="E28">
        <v>698.39</v>
      </c>
      <c r="F28">
        <v>4</v>
      </c>
      <c r="G28">
        <v>0.06</v>
      </c>
      <c r="H28">
        <v>0.37</v>
      </c>
      <c r="I28" t="s">
        <v>12</v>
      </c>
      <c r="J28" t="s">
        <v>46</v>
      </c>
      <c r="K28">
        <f t="shared" si="0"/>
        <v>2793.56</v>
      </c>
    </row>
    <row r="29" spans="1:11">
      <c r="A29">
        <v>28</v>
      </c>
      <c r="B29" s="1">
        <v>45574</v>
      </c>
      <c r="C29" t="s">
        <v>31</v>
      </c>
      <c r="D29" t="s">
        <v>11</v>
      </c>
      <c r="E29">
        <v>503.41</v>
      </c>
      <c r="F29">
        <v>4</v>
      </c>
      <c r="G29">
        <v>0.11</v>
      </c>
      <c r="H29">
        <v>0.37</v>
      </c>
      <c r="I29" t="s">
        <v>16</v>
      </c>
      <c r="J29" t="s">
        <v>47</v>
      </c>
      <c r="K29">
        <f t="shared" si="0"/>
        <v>2013.64</v>
      </c>
    </row>
    <row r="30" spans="1:11">
      <c r="A30">
        <v>29</v>
      </c>
      <c r="B30" s="1">
        <v>45489</v>
      </c>
      <c r="C30" t="s">
        <v>26</v>
      </c>
      <c r="D30" t="s">
        <v>11</v>
      </c>
      <c r="E30">
        <v>654.98</v>
      </c>
      <c r="F30">
        <v>4</v>
      </c>
      <c r="G30">
        <v>0.11</v>
      </c>
      <c r="H30">
        <v>0.19</v>
      </c>
      <c r="I30" t="s">
        <v>16</v>
      </c>
      <c r="J30" t="s">
        <v>48</v>
      </c>
      <c r="K30">
        <f t="shared" si="0"/>
        <v>2619.92</v>
      </c>
    </row>
    <row r="31" spans="1:11">
      <c r="A31">
        <v>30</v>
      </c>
      <c r="B31" s="1">
        <v>45525</v>
      </c>
      <c r="C31" t="s">
        <v>20</v>
      </c>
      <c r="D31" t="s">
        <v>15</v>
      </c>
      <c r="E31">
        <v>778.35</v>
      </c>
      <c r="F31">
        <v>1</v>
      </c>
      <c r="G31">
        <v>0.15</v>
      </c>
      <c r="H31">
        <v>0.31</v>
      </c>
      <c r="I31" t="s">
        <v>12</v>
      </c>
      <c r="J31" t="s">
        <v>49</v>
      </c>
      <c r="K31">
        <f t="shared" si="0"/>
        <v>778.35</v>
      </c>
    </row>
    <row r="32" spans="1:11">
      <c r="A32">
        <v>31</v>
      </c>
      <c r="B32" s="1">
        <v>45524</v>
      </c>
      <c r="C32" t="s">
        <v>10</v>
      </c>
      <c r="D32" t="s">
        <v>11</v>
      </c>
      <c r="E32">
        <v>522.98</v>
      </c>
      <c r="F32">
        <v>3</v>
      </c>
      <c r="G32">
        <v>0.1</v>
      </c>
      <c r="H32">
        <v>0.26</v>
      </c>
      <c r="I32" t="s">
        <v>21</v>
      </c>
      <c r="J32" t="s">
        <v>50</v>
      </c>
      <c r="K32">
        <f t="shared" si="0"/>
        <v>1568.94</v>
      </c>
    </row>
    <row r="33" spans="1:11">
      <c r="A33">
        <v>32</v>
      </c>
      <c r="B33" s="1">
        <v>45586</v>
      </c>
      <c r="C33" t="s">
        <v>31</v>
      </c>
      <c r="D33" t="s">
        <v>11</v>
      </c>
      <c r="E33">
        <v>620.66</v>
      </c>
      <c r="F33">
        <v>1</v>
      </c>
      <c r="G33">
        <v>0.08</v>
      </c>
      <c r="H33">
        <v>0.17</v>
      </c>
      <c r="I33" t="s">
        <v>16</v>
      </c>
      <c r="J33" t="s">
        <v>51</v>
      </c>
      <c r="K33">
        <f t="shared" si="0"/>
        <v>620.66</v>
      </c>
    </row>
    <row r="34" spans="1:11">
      <c r="A34">
        <v>33</v>
      </c>
      <c r="B34" s="1">
        <v>45478</v>
      </c>
      <c r="C34" t="s">
        <v>26</v>
      </c>
      <c r="D34" t="s">
        <v>11</v>
      </c>
      <c r="E34">
        <v>758.44</v>
      </c>
      <c r="F34">
        <v>1</v>
      </c>
      <c r="G34">
        <v>0.04</v>
      </c>
      <c r="H34">
        <v>0.4</v>
      </c>
      <c r="I34" t="s">
        <v>16</v>
      </c>
      <c r="J34" t="s">
        <v>52</v>
      </c>
      <c r="K34">
        <f t="shared" si="0"/>
        <v>758.44</v>
      </c>
    </row>
    <row r="35" spans="1:11">
      <c r="A35">
        <v>34</v>
      </c>
      <c r="B35" s="1">
        <v>45515</v>
      </c>
      <c r="C35" t="s">
        <v>26</v>
      </c>
      <c r="D35" t="s">
        <v>11</v>
      </c>
      <c r="E35">
        <v>924.11</v>
      </c>
      <c r="F35">
        <v>2</v>
      </c>
      <c r="G35">
        <v>0.12</v>
      </c>
      <c r="H35">
        <v>0.11</v>
      </c>
      <c r="I35" t="s">
        <v>12</v>
      </c>
      <c r="J35" t="s">
        <v>53</v>
      </c>
      <c r="K35">
        <f t="shared" si="0"/>
        <v>1848.22</v>
      </c>
    </row>
    <row r="36" spans="1:11">
      <c r="A36">
        <v>35</v>
      </c>
      <c r="B36" s="1">
        <v>45509</v>
      </c>
      <c r="C36" t="s">
        <v>14</v>
      </c>
      <c r="D36" t="s">
        <v>15</v>
      </c>
      <c r="E36">
        <v>1364.69</v>
      </c>
      <c r="F36">
        <v>3</v>
      </c>
      <c r="G36">
        <v>0.2</v>
      </c>
      <c r="H36">
        <v>0.26</v>
      </c>
      <c r="I36" t="s">
        <v>24</v>
      </c>
      <c r="J36" t="s">
        <v>54</v>
      </c>
      <c r="K36">
        <f t="shared" si="0"/>
        <v>4094.07</v>
      </c>
    </row>
    <row r="37" spans="1:11">
      <c r="A37">
        <v>36</v>
      </c>
      <c r="B37" s="1">
        <v>45546</v>
      </c>
      <c r="C37" t="s">
        <v>14</v>
      </c>
      <c r="D37" t="s">
        <v>15</v>
      </c>
      <c r="E37">
        <v>1478.83</v>
      </c>
      <c r="F37">
        <v>4</v>
      </c>
      <c r="G37">
        <v>0.02</v>
      </c>
      <c r="H37">
        <v>0.21</v>
      </c>
      <c r="I37" t="s">
        <v>12</v>
      </c>
      <c r="J37" t="s">
        <v>55</v>
      </c>
      <c r="K37">
        <f t="shared" si="0"/>
        <v>5915.32</v>
      </c>
    </row>
    <row r="38" spans="1:11">
      <c r="A38">
        <v>37</v>
      </c>
      <c r="B38" s="1">
        <v>45531</v>
      </c>
      <c r="C38" t="s">
        <v>26</v>
      </c>
      <c r="D38" t="s">
        <v>11</v>
      </c>
      <c r="E38">
        <v>1209.6300000000001</v>
      </c>
      <c r="F38">
        <v>5</v>
      </c>
      <c r="G38">
        <v>0.19</v>
      </c>
      <c r="H38">
        <v>0.28999999999999998</v>
      </c>
      <c r="I38" t="s">
        <v>16</v>
      </c>
      <c r="J38" t="s">
        <v>56</v>
      </c>
      <c r="K38">
        <f t="shared" si="0"/>
        <v>6048.1500000000005</v>
      </c>
    </row>
    <row r="39" spans="1:11">
      <c r="A39">
        <v>38</v>
      </c>
      <c r="B39" s="1">
        <v>45640</v>
      </c>
      <c r="C39" t="s">
        <v>14</v>
      </c>
      <c r="D39" t="s">
        <v>15</v>
      </c>
      <c r="E39">
        <v>1202.56</v>
      </c>
      <c r="F39">
        <v>1</v>
      </c>
      <c r="G39">
        <v>0.1</v>
      </c>
      <c r="H39">
        <v>0.16</v>
      </c>
      <c r="I39" t="s">
        <v>24</v>
      </c>
      <c r="J39" t="s">
        <v>48</v>
      </c>
      <c r="K39">
        <f t="shared" si="0"/>
        <v>1202.56</v>
      </c>
    </row>
    <row r="40" spans="1:11">
      <c r="A40">
        <v>39</v>
      </c>
      <c r="B40" s="1">
        <v>45438</v>
      </c>
      <c r="C40" t="s">
        <v>31</v>
      </c>
      <c r="D40" t="s">
        <v>11</v>
      </c>
      <c r="E40">
        <v>1291.08</v>
      </c>
      <c r="F40">
        <v>4</v>
      </c>
      <c r="G40">
        <v>0.2</v>
      </c>
      <c r="H40">
        <v>0.1</v>
      </c>
      <c r="I40" t="s">
        <v>12</v>
      </c>
      <c r="J40" t="s">
        <v>57</v>
      </c>
      <c r="K40">
        <f t="shared" si="0"/>
        <v>5164.32</v>
      </c>
    </row>
    <row r="41" spans="1:11">
      <c r="A41">
        <v>40</v>
      </c>
      <c r="B41" s="1">
        <v>45330</v>
      </c>
      <c r="C41" t="s">
        <v>31</v>
      </c>
      <c r="D41" t="s">
        <v>11</v>
      </c>
      <c r="E41">
        <v>539.28</v>
      </c>
      <c r="F41">
        <v>4</v>
      </c>
      <c r="G41">
        <v>0.28000000000000003</v>
      </c>
      <c r="H41">
        <v>0.22</v>
      </c>
      <c r="I41" t="s">
        <v>24</v>
      </c>
      <c r="J41" t="s">
        <v>58</v>
      </c>
      <c r="K41">
        <f t="shared" si="0"/>
        <v>2157.12</v>
      </c>
    </row>
    <row r="42" spans="1:11">
      <c r="A42">
        <v>41</v>
      </c>
      <c r="B42" s="1">
        <v>45442</v>
      </c>
      <c r="C42" t="s">
        <v>23</v>
      </c>
      <c r="D42" t="s">
        <v>15</v>
      </c>
      <c r="E42">
        <v>1406.68</v>
      </c>
      <c r="F42">
        <v>1</v>
      </c>
      <c r="G42">
        <v>0.2</v>
      </c>
      <c r="H42">
        <v>0.32</v>
      </c>
      <c r="I42" t="s">
        <v>16</v>
      </c>
      <c r="J42" t="s">
        <v>59</v>
      </c>
      <c r="K42">
        <f t="shared" si="0"/>
        <v>1406.68</v>
      </c>
    </row>
    <row r="43" spans="1:11">
      <c r="A43">
        <v>42</v>
      </c>
      <c r="B43" s="1">
        <v>45637</v>
      </c>
      <c r="C43" t="s">
        <v>31</v>
      </c>
      <c r="D43" t="s">
        <v>11</v>
      </c>
      <c r="E43">
        <v>823.64</v>
      </c>
      <c r="F43">
        <v>2</v>
      </c>
      <c r="G43">
        <v>0.08</v>
      </c>
      <c r="H43">
        <v>0.3</v>
      </c>
      <c r="I43" t="s">
        <v>16</v>
      </c>
      <c r="J43" t="s">
        <v>60</v>
      </c>
      <c r="K43">
        <f t="shared" si="0"/>
        <v>1647.28</v>
      </c>
    </row>
    <row r="44" spans="1:11">
      <c r="A44">
        <v>43</v>
      </c>
      <c r="B44" s="1">
        <v>45595</v>
      </c>
      <c r="C44" t="s">
        <v>10</v>
      </c>
      <c r="D44" t="s">
        <v>11</v>
      </c>
      <c r="E44">
        <v>1473.7</v>
      </c>
      <c r="F44">
        <v>4</v>
      </c>
      <c r="G44">
        <v>0.16</v>
      </c>
      <c r="H44">
        <v>0.17</v>
      </c>
      <c r="I44" t="s">
        <v>16</v>
      </c>
      <c r="J44" t="s">
        <v>61</v>
      </c>
      <c r="K44">
        <f t="shared" si="0"/>
        <v>5894.8</v>
      </c>
    </row>
    <row r="45" spans="1:11">
      <c r="A45">
        <v>44</v>
      </c>
      <c r="B45" s="1">
        <v>45300</v>
      </c>
      <c r="C45" t="s">
        <v>20</v>
      </c>
      <c r="D45" t="s">
        <v>15</v>
      </c>
      <c r="E45">
        <v>1448.99</v>
      </c>
      <c r="F45">
        <v>5</v>
      </c>
      <c r="G45">
        <v>0.27</v>
      </c>
      <c r="H45">
        <v>0.28999999999999998</v>
      </c>
      <c r="I45" t="s">
        <v>16</v>
      </c>
      <c r="J45" t="s">
        <v>62</v>
      </c>
      <c r="K45">
        <f t="shared" si="0"/>
        <v>7244.95</v>
      </c>
    </row>
    <row r="46" spans="1:11">
      <c r="A46">
        <v>45</v>
      </c>
      <c r="B46" s="1">
        <v>45443</v>
      </c>
      <c r="C46" t="s">
        <v>31</v>
      </c>
      <c r="D46" t="s">
        <v>11</v>
      </c>
      <c r="E46">
        <v>436.34</v>
      </c>
      <c r="F46">
        <v>3</v>
      </c>
      <c r="G46">
        <v>0.22</v>
      </c>
      <c r="H46">
        <v>0.37</v>
      </c>
      <c r="I46" t="s">
        <v>21</v>
      </c>
      <c r="J46" t="s">
        <v>63</v>
      </c>
      <c r="K46">
        <f t="shared" si="0"/>
        <v>1309.02</v>
      </c>
    </row>
    <row r="47" spans="1:11">
      <c r="A47">
        <v>46</v>
      </c>
      <c r="B47" s="1">
        <v>45395</v>
      </c>
      <c r="C47" t="s">
        <v>31</v>
      </c>
      <c r="D47" t="s">
        <v>11</v>
      </c>
      <c r="E47">
        <v>621.65</v>
      </c>
      <c r="F47">
        <v>1</v>
      </c>
      <c r="G47">
        <v>0.19</v>
      </c>
      <c r="H47">
        <v>0.13</v>
      </c>
      <c r="I47" t="s">
        <v>21</v>
      </c>
      <c r="J47" t="s">
        <v>22</v>
      </c>
      <c r="K47">
        <f t="shared" si="0"/>
        <v>621.65</v>
      </c>
    </row>
    <row r="48" spans="1:11">
      <c r="A48">
        <v>47</v>
      </c>
      <c r="B48" s="1">
        <v>45444</v>
      </c>
      <c r="C48" t="s">
        <v>20</v>
      </c>
      <c r="D48" t="s">
        <v>15</v>
      </c>
      <c r="E48">
        <v>919.48</v>
      </c>
      <c r="F48">
        <v>3</v>
      </c>
      <c r="G48">
        <v>0.11</v>
      </c>
      <c r="H48">
        <v>0.38</v>
      </c>
      <c r="I48" t="s">
        <v>12</v>
      </c>
      <c r="J48" t="s">
        <v>64</v>
      </c>
      <c r="K48">
        <f t="shared" si="0"/>
        <v>2758.44</v>
      </c>
    </row>
    <row r="49" spans="1:11">
      <c r="A49">
        <v>48</v>
      </c>
      <c r="B49" s="1">
        <v>45460</v>
      </c>
      <c r="C49" t="s">
        <v>23</v>
      </c>
      <c r="D49" t="s">
        <v>15</v>
      </c>
      <c r="E49">
        <v>32.47</v>
      </c>
      <c r="F49">
        <v>2</v>
      </c>
      <c r="G49">
        <v>0.15</v>
      </c>
      <c r="H49">
        <v>0.23</v>
      </c>
      <c r="I49" t="s">
        <v>24</v>
      </c>
      <c r="J49" t="s">
        <v>65</v>
      </c>
      <c r="K49">
        <f t="shared" si="0"/>
        <v>64.94</v>
      </c>
    </row>
    <row r="50" spans="1:11">
      <c r="A50">
        <v>49</v>
      </c>
      <c r="B50" s="1">
        <v>45426</v>
      </c>
      <c r="C50" t="s">
        <v>23</v>
      </c>
      <c r="D50" t="s">
        <v>15</v>
      </c>
      <c r="E50">
        <v>284.49</v>
      </c>
      <c r="F50">
        <v>4</v>
      </c>
      <c r="G50">
        <v>7.0000000000000007E-2</v>
      </c>
      <c r="H50">
        <v>0.2</v>
      </c>
      <c r="I50" t="s">
        <v>21</v>
      </c>
      <c r="J50" t="s">
        <v>66</v>
      </c>
      <c r="K50">
        <f t="shared" si="0"/>
        <v>1137.96</v>
      </c>
    </row>
    <row r="51" spans="1:11">
      <c r="A51">
        <v>50</v>
      </c>
      <c r="B51" s="1">
        <v>45313</v>
      </c>
      <c r="C51" t="s">
        <v>10</v>
      </c>
      <c r="D51" t="s">
        <v>11</v>
      </c>
      <c r="E51">
        <v>1088.3900000000001</v>
      </c>
      <c r="F51">
        <v>1</v>
      </c>
      <c r="G51">
        <v>0.16</v>
      </c>
      <c r="H51">
        <v>0.25</v>
      </c>
      <c r="I51" t="s">
        <v>21</v>
      </c>
      <c r="J51" t="s">
        <v>67</v>
      </c>
      <c r="K51">
        <f t="shared" si="0"/>
        <v>1088.3900000000001</v>
      </c>
    </row>
    <row r="52" spans="1:11">
      <c r="A52">
        <v>51</v>
      </c>
      <c r="B52" s="1">
        <v>45318</v>
      </c>
      <c r="C52" t="s">
        <v>10</v>
      </c>
      <c r="D52" t="s">
        <v>11</v>
      </c>
      <c r="E52">
        <v>384.88</v>
      </c>
      <c r="F52">
        <v>5</v>
      </c>
      <c r="G52">
        <v>0.15</v>
      </c>
      <c r="H52">
        <v>0.37</v>
      </c>
      <c r="I52" t="s">
        <v>24</v>
      </c>
      <c r="J52" t="s">
        <v>68</v>
      </c>
      <c r="K52">
        <f t="shared" si="0"/>
        <v>1924.4</v>
      </c>
    </row>
    <row r="53" spans="1:11">
      <c r="A53">
        <v>52</v>
      </c>
      <c r="B53" s="1">
        <v>45608</v>
      </c>
      <c r="C53" t="s">
        <v>14</v>
      </c>
      <c r="D53" t="s">
        <v>15</v>
      </c>
      <c r="E53">
        <v>1197.3499999999999</v>
      </c>
      <c r="F53">
        <v>1</v>
      </c>
      <c r="G53">
        <v>0.17</v>
      </c>
      <c r="H53">
        <v>0.25</v>
      </c>
      <c r="I53" t="s">
        <v>21</v>
      </c>
      <c r="J53" t="s">
        <v>69</v>
      </c>
      <c r="K53">
        <f t="shared" si="0"/>
        <v>1197.3499999999999</v>
      </c>
    </row>
    <row r="54" spans="1:11">
      <c r="A54">
        <v>53</v>
      </c>
      <c r="B54" s="1">
        <v>45308</v>
      </c>
      <c r="C54" t="s">
        <v>10</v>
      </c>
      <c r="D54" t="s">
        <v>11</v>
      </c>
      <c r="E54">
        <v>761.31</v>
      </c>
      <c r="F54">
        <v>4</v>
      </c>
      <c r="G54">
        <v>0.01</v>
      </c>
      <c r="H54">
        <v>0.28999999999999998</v>
      </c>
      <c r="I54" t="s">
        <v>24</v>
      </c>
      <c r="J54" t="s">
        <v>70</v>
      </c>
      <c r="K54">
        <f t="shared" si="0"/>
        <v>3045.24</v>
      </c>
    </row>
    <row r="55" spans="1:11">
      <c r="A55">
        <v>54</v>
      </c>
      <c r="B55" s="1">
        <v>45524</v>
      </c>
      <c r="C55" t="s">
        <v>31</v>
      </c>
      <c r="D55" t="s">
        <v>11</v>
      </c>
      <c r="E55">
        <v>1491.96</v>
      </c>
      <c r="F55">
        <v>5</v>
      </c>
      <c r="G55">
        <v>0.08</v>
      </c>
      <c r="H55">
        <v>0.37</v>
      </c>
      <c r="I55" t="s">
        <v>24</v>
      </c>
      <c r="J55" t="s">
        <v>53</v>
      </c>
      <c r="K55">
        <f t="shared" si="0"/>
        <v>7459.8</v>
      </c>
    </row>
    <row r="56" spans="1:11">
      <c r="A56">
        <v>55</v>
      </c>
      <c r="B56" s="1">
        <v>45390</v>
      </c>
      <c r="C56" t="s">
        <v>20</v>
      </c>
      <c r="D56" t="s">
        <v>15</v>
      </c>
      <c r="E56">
        <v>1430.78</v>
      </c>
      <c r="F56">
        <v>5</v>
      </c>
      <c r="G56">
        <v>0.13</v>
      </c>
      <c r="H56">
        <v>0.39</v>
      </c>
      <c r="I56" t="s">
        <v>16</v>
      </c>
      <c r="J56" t="s">
        <v>71</v>
      </c>
      <c r="K56">
        <f t="shared" si="0"/>
        <v>7153.9</v>
      </c>
    </row>
    <row r="57" spans="1:11">
      <c r="A57">
        <v>56</v>
      </c>
      <c r="B57" s="1">
        <v>45452</v>
      </c>
      <c r="C57" t="s">
        <v>26</v>
      </c>
      <c r="D57" t="s">
        <v>11</v>
      </c>
      <c r="E57">
        <v>1470.99</v>
      </c>
      <c r="F57">
        <v>4</v>
      </c>
      <c r="G57">
        <v>0.09</v>
      </c>
      <c r="H57">
        <v>0.22</v>
      </c>
      <c r="I57" t="s">
        <v>12</v>
      </c>
      <c r="J57" t="s">
        <v>72</v>
      </c>
      <c r="K57">
        <f t="shared" si="0"/>
        <v>5883.96</v>
      </c>
    </row>
    <row r="58" spans="1:11">
      <c r="A58">
        <v>57</v>
      </c>
      <c r="B58" s="1">
        <v>45349</v>
      </c>
      <c r="C58" t="s">
        <v>10</v>
      </c>
      <c r="D58" t="s">
        <v>11</v>
      </c>
      <c r="E58">
        <v>492.46</v>
      </c>
      <c r="F58">
        <v>2</v>
      </c>
      <c r="G58">
        <v>0.17</v>
      </c>
      <c r="H58">
        <v>0.38</v>
      </c>
      <c r="I58" t="s">
        <v>21</v>
      </c>
      <c r="J58" t="s">
        <v>73</v>
      </c>
      <c r="K58">
        <f t="shared" si="0"/>
        <v>984.92</v>
      </c>
    </row>
    <row r="59" spans="1:11">
      <c r="A59">
        <v>58</v>
      </c>
      <c r="B59" s="1">
        <v>45418</v>
      </c>
      <c r="C59" t="s">
        <v>23</v>
      </c>
      <c r="D59" t="s">
        <v>15</v>
      </c>
      <c r="E59">
        <v>1396.77</v>
      </c>
      <c r="F59">
        <v>2</v>
      </c>
      <c r="G59">
        <v>0.18</v>
      </c>
      <c r="H59">
        <v>0.4</v>
      </c>
      <c r="I59" t="s">
        <v>21</v>
      </c>
      <c r="J59" t="s">
        <v>74</v>
      </c>
      <c r="K59">
        <f t="shared" si="0"/>
        <v>2793.54</v>
      </c>
    </row>
    <row r="60" spans="1:11">
      <c r="A60">
        <v>59</v>
      </c>
      <c r="B60" s="1">
        <v>45590</v>
      </c>
      <c r="C60" t="s">
        <v>26</v>
      </c>
      <c r="D60" t="s">
        <v>11</v>
      </c>
      <c r="E60">
        <v>789.54</v>
      </c>
      <c r="F60">
        <v>2</v>
      </c>
      <c r="G60">
        <v>0.1</v>
      </c>
      <c r="H60">
        <v>0.35</v>
      </c>
      <c r="I60" t="s">
        <v>12</v>
      </c>
      <c r="J60" t="s">
        <v>75</v>
      </c>
      <c r="K60">
        <f t="shared" si="0"/>
        <v>1579.08</v>
      </c>
    </row>
    <row r="61" spans="1:11">
      <c r="A61">
        <v>60</v>
      </c>
      <c r="B61" s="1">
        <v>45597</v>
      </c>
      <c r="C61" t="s">
        <v>10</v>
      </c>
      <c r="D61" t="s">
        <v>11</v>
      </c>
      <c r="E61">
        <v>1070.6400000000001</v>
      </c>
      <c r="F61">
        <v>5</v>
      </c>
      <c r="G61">
        <v>0.09</v>
      </c>
      <c r="H61">
        <v>0.23</v>
      </c>
      <c r="I61" t="s">
        <v>24</v>
      </c>
      <c r="J61" t="s">
        <v>76</v>
      </c>
      <c r="K61">
        <f t="shared" si="0"/>
        <v>5353.2000000000007</v>
      </c>
    </row>
    <row r="62" spans="1:11">
      <c r="A62">
        <v>61</v>
      </c>
      <c r="B62" s="1">
        <v>45327</v>
      </c>
      <c r="C62" t="s">
        <v>26</v>
      </c>
      <c r="D62" t="s">
        <v>11</v>
      </c>
      <c r="E62">
        <v>1303.93</v>
      </c>
      <c r="F62">
        <v>5</v>
      </c>
      <c r="G62">
        <v>0.02</v>
      </c>
      <c r="H62">
        <v>0.1</v>
      </c>
      <c r="I62" t="s">
        <v>24</v>
      </c>
      <c r="J62" t="s">
        <v>77</v>
      </c>
      <c r="K62">
        <f t="shared" si="0"/>
        <v>6519.6500000000005</v>
      </c>
    </row>
    <row r="63" spans="1:11">
      <c r="A63">
        <v>62</v>
      </c>
      <c r="B63" s="1">
        <v>45433</v>
      </c>
      <c r="C63" t="s">
        <v>20</v>
      </c>
      <c r="D63" t="s">
        <v>15</v>
      </c>
      <c r="E63">
        <v>1202.49</v>
      </c>
      <c r="F63">
        <v>1</v>
      </c>
      <c r="G63">
        <v>0.02</v>
      </c>
      <c r="H63">
        <v>0.22</v>
      </c>
      <c r="I63" t="s">
        <v>21</v>
      </c>
      <c r="J63" t="s">
        <v>78</v>
      </c>
      <c r="K63">
        <f t="shared" si="0"/>
        <v>1202.49</v>
      </c>
    </row>
    <row r="64" spans="1:11">
      <c r="A64">
        <v>63</v>
      </c>
      <c r="B64" s="1">
        <v>45633</v>
      </c>
      <c r="C64" t="s">
        <v>20</v>
      </c>
      <c r="D64" t="s">
        <v>15</v>
      </c>
      <c r="E64">
        <v>1337.76</v>
      </c>
      <c r="F64">
        <v>4</v>
      </c>
      <c r="G64">
        <v>0.17</v>
      </c>
      <c r="H64">
        <v>0.23</v>
      </c>
      <c r="I64" t="s">
        <v>21</v>
      </c>
      <c r="J64" t="s">
        <v>79</v>
      </c>
      <c r="K64">
        <f t="shared" si="0"/>
        <v>5351.04</v>
      </c>
    </row>
    <row r="65" spans="1:11">
      <c r="A65">
        <v>64</v>
      </c>
      <c r="B65" s="1">
        <v>45605</v>
      </c>
      <c r="C65" t="s">
        <v>26</v>
      </c>
      <c r="D65" t="s">
        <v>11</v>
      </c>
      <c r="E65">
        <v>509.03</v>
      </c>
      <c r="F65">
        <v>2</v>
      </c>
      <c r="G65">
        <v>0.16</v>
      </c>
      <c r="H65">
        <v>0.19</v>
      </c>
      <c r="I65" t="s">
        <v>24</v>
      </c>
      <c r="J65" t="s">
        <v>34</v>
      </c>
      <c r="K65">
        <f t="shared" si="0"/>
        <v>1018.06</v>
      </c>
    </row>
    <row r="66" spans="1:11">
      <c r="A66">
        <v>65</v>
      </c>
      <c r="B66" s="1">
        <v>45345</v>
      </c>
      <c r="C66" t="s">
        <v>23</v>
      </c>
      <c r="D66" t="s">
        <v>15</v>
      </c>
      <c r="E66">
        <v>1294.0999999999999</v>
      </c>
      <c r="F66">
        <v>1</v>
      </c>
      <c r="G66">
        <v>0.01</v>
      </c>
      <c r="H66">
        <v>0.35</v>
      </c>
      <c r="I66" t="s">
        <v>16</v>
      </c>
      <c r="J66" t="s">
        <v>76</v>
      </c>
      <c r="K66">
        <f t="shared" si="0"/>
        <v>1294.0999999999999</v>
      </c>
    </row>
    <row r="67" spans="1:11">
      <c r="A67">
        <v>66</v>
      </c>
      <c r="B67" s="1">
        <v>45399</v>
      </c>
      <c r="C67" t="s">
        <v>26</v>
      </c>
      <c r="D67" t="s">
        <v>11</v>
      </c>
      <c r="E67">
        <v>817.2</v>
      </c>
      <c r="F67">
        <v>5</v>
      </c>
      <c r="G67">
        <v>0.16</v>
      </c>
      <c r="H67">
        <v>0.33</v>
      </c>
      <c r="I67" t="s">
        <v>16</v>
      </c>
      <c r="J67" t="s">
        <v>41</v>
      </c>
      <c r="K67">
        <f t="shared" si="0"/>
        <v>4086</v>
      </c>
    </row>
    <row r="68" spans="1:11">
      <c r="A68">
        <v>67</v>
      </c>
      <c r="B68" s="1">
        <v>45641</v>
      </c>
      <c r="C68" t="s">
        <v>23</v>
      </c>
      <c r="D68" t="s">
        <v>15</v>
      </c>
      <c r="E68">
        <v>943.76</v>
      </c>
      <c r="F68">
        <v>4</v>
      </c>
      <c r="G68">
        <v>0.25</v>
      </c>
      <c r="H68">
        <v>0.16</v>
      </c>
      <c r="I68" t="s">
        <v>24</v>
      </c>
      <c r="J68" t="s">
        <v>80</v>
      </c>
      <c r="K68">
        <f t="shared" ref="K68:K131" si="1">E68*F68</f>
        <v>3775.04</v>
      </c>
    </row>
    <row r="69" spans="1:11">
      <c r="A69">
        <v>68</v>
      </c>
      <c r="B69" s="1">
        <v>45397</v>
      </c>
      <c r="C69" t="s">
        <v>26</v>
      </c>
      <c r="D69" t="s">
        <v>11</v>
      </c>
      <c r="E69">
        <v>822.44</v>
      </c>
      <c r="F69">
        <v>4</v>
      </c>
      <c r="G69">
        <v>0.04</v>
      </c>
      <c r="H69">
        <v>0.39</v>
      </c>
      <c r="I69" t="s">
        <v>21</v>
      </c>
      <c r="J69" t="s">
        <v>33</v>
      </c>
      <c r="K69">
        <f t="shared" si="1"/>
        <v>3289.76</v>
      </c>
    </row>
    <row r="70" spans="1:11">
      <c r="A70">
        <v>69</v>
      </c>
      <c r="B70" s="1">
        <v>45349</v>
      </c>
      <c r="C70" t="s">
        <v>31</v>
      </c>
      <c r="D70" t="s">
        <v>11</v>
      </c>
      <c r="E70">
        <v>501.36</v>
      </c>
      <c r="F70">
        <v>1</v>
      </c>
      <c r="G70">
        <v>0.12</v>
      </c>
      <c r="H70">
        <v>0.23</v>
      </c>
      <c r="I70" t="s">
        <v>12</v>
      </c>
      <c r="J70" t="s">
        <v>81</v>
      </c>
      <c r="K70">
        <f t="shared" si="1"/>
        <v>501.36</v>
      </c>
    </row>
    <row r="71" spans="1:11">
      <c r="A71">
        <v>70</v>
      </c>
      <c r="B71" s="1">
        <v>45418</v>
      </c>
      <c r="C71" t="s">
        <v>31</v>
      </c>
      <c r="D71" t="s">
        <v>11</v>
      </c>
      <c r="E71">
        <v>140.72</v>
      </c>
      <c r="F71">
        <v>5</v>
      </c>
      <c r="G71">
        <v>0.06</v>
      </c>
      <c r="H71">
        <v>0.12</v>
      </c>
      <c r="I71" t="s">
        <v>12</v>
      </c>
      <c r="J71" t="s">
        <v>82</v>
      </c>
      <c r="K71">
        <f t="shared" si="1"/>
        <v>703.6</v>
      </c>
    </row>
    <row r="72" spans="1:11">
      <c r="A72">
        <v>71</v>
      </c>
      <c r="B72" s="1">
        <v>45530</v>
      </c>
      <c r="C72" t="s">
        <v>20</v>
      </c>
      <c r="D72" t="s">
        <v>15</v>
      </c>
      <c r="E72">
        <v>1051.56</v>
      </c>
      <c r="F72">
        <v>5</v>
      </c>
      <c r="G72">
        <v>0.02</v>
      </c>
      <c r="H72">
        <v>0.37</v>
      </c>
      <c r="I72" t="s">
        <v>12</v>
      </c>
      <c r="J72" t="s">
        <v>83</v>
      </c>
      <c r="K72">
        <f t="shared" si="1"/>
        <v>5257.7999999999993</v>
      </c>
    </row>
    <row r="73" spans="1:11">
      <c r="A73">
        <v>72</v>
      </c>
      <c r="B73" s="1">
        <v>45563</v>
      </c>
      <c r="C73" t="s">
        <v>31</v>
      </c>
      <c r="D73" t="s">
        <v>11</v>
      </c>
      <c r="E73">
        <v>394.11</v>
      </c>
      <c r="F73">
        <v>1</v>
      </c>
      <c r="G73">
        <v>0.2</v>
      </c>
      <c r="H73">
        <v>0.18</v>
      </c>
      <c r="I73" t="s">
        <v>12</v>
      </c>
      <c r="J73" t="s">
        <v>70</v>
      </c>
      <c r="K73">
        <f t="shared" si="1"/>
        <v>394.11</v>
      </c>
    </row>
    <row r="74" spans="1:11">
      <c r="A74">
        <v>73</v>
      </c>
      <c r="B74" s="1">
        <v>45367</v>
      </c>
      <c r="C74" t="s">
        <v>10</v>
      </c>
      <c r="D74" t="s">
        <v>11</v>
      </c>
      <c r="E74">
        <v>787.13</v>
      </c>
      <c r="F74">
        <v>5</v>
      </c>
      <c r="G74">
        <v>0.18</v>
      </c>
      <c r="H74">
        <v>0.23</v>
      </c>
      <c r="I74" t="s">
        <v>21</v>
      </c>
      <c r="J74" t="s">
        <v>84</v>
      </c>
      <c r="K74">
        <f t="shared" si="1"/>
        <v>3935.65</v>
      </c>
    </row>
    <row r="75" spans="1:11">
      <c r="A75">
        <v>74</v>
      </c>
      <c r="B75" s="1">
        <v>45511</v>
      </c>
      <c r="C75" t="s">
        <v>23</v>
      </c>
      <c r="D75" t="s">
        <v>15</v>
      </c>
      <c r="E75">
        <v>859.9</v>
      </c>
      <c r="F75">
        <v>3</v>
      </c>
      <c r="G75">
        <v>0.23</v>
      </c>
      <c r="H75">
        <v>0.1</v>
      </c>
      <c r="I75" t="s">
        <v>12</v>
      </c>
      <c r="J75" t="s">
        <v>85</v>
      </c>
      <c r="K75">
        <f t="shared" si="1"/>
        <v>2579.6999999999998</v>
      </c>
    </row>
    <row r="76" spans="1:11">
      <c r="A76">
        <v>75</v>
      </c>
      <c r="B76" s="1">
        <v>45495</v>
      </c>
      <c r="C76" t="s">
        <v>31</v>
      </c>
      <c r="D76" t="s">
        <v>11</v>
      </c>
      <c r="E76">
        <v>92.85</v>
      </c>
      <c r="F76">
        <v>1</v>
      </c>
      <c r="G76">
        <v>0.09</v>
      </c>
      <c r="H76">
        <v>0.39</v>
      </c>
      <c r="I76" t="s">
        <v>12</v>
      </c>
      <c r="J76" t="s">
        <v>86</v>
      </c>
      <c r="K76">
        <f t="shared" si="1"/>
        <v>92.85</v>
      </c>
    </row>
    <row r="77" spans="1:11">
      <c r="A77">
        <v>76</v>
      </c>
      <c r="B77" s="1">
        <v>45580</v>
      </c>
      <c r="C77" t="s">
        <v>23</v>
      </c>
      <c r="D77" t="s">
        <v>15</v>
      </c>
      <c r="E77">
        <v>50.31</v>
      </c>
      <c r="F77">
        <v>2</v>
      </c>
      <c r="G77">
        <v>0.15</v>
      </c>
      <c r="H77">
        <v>0.24</v>
      </c>
      <c r="I77" t="s">
        <v>21</v>
      </c>
      <c r="J77" t="s">
        <v>87</v>
      </c>
      <c r="K77">
        <f t="shared" si="1"/>
        <v>100.62</v>
      </c>
    </row>
    <row r="78" spans="1:11">
      <c r="A78">
        <v>77</v>
      </c>
      <c r="B78" s="1">
        <v>45616</v>
      </c>
      <c r="C78" t="s">
        <v>23</v>
      </c>
      <c r="D78" t="s">
        <v>15</v>
      </c>
      <c r="E78">
        <v>710.39</v>
      </c>
      <c r="F78">
        <v>5</v>
      </c>
      <c r="G78">
        <v>0.12</v>
      </c>
      <c r="H78">
        <v>0.28000000000000003</v>
      </c>
      <c r="I78" t="s">
        <v>21</v>
      </c>
      <c r="J78" t="s">
        <v>88</v>
      </c>
      <c r="K78">
        <f t="shared" si="1"/>
        <v>3551.95</v>
      </c>
    </row>
    <row r="79" spans="1:11">
      <c r="A79">
        <v>78</v>
      </c>
      <c r="B79" s="1">
        <v>45387</v>
      </c>
      <c r="C79" t="s">
        <v>20</v>
      </c>
      <c r="D79" t="s">
        <v>15</v>
      </c>
      <c r="E79">
        <v>1332.85</v>
      </c>
      <c r="F79">
        <v>4</v>
      </c>
      <c r="G79">
        <v>0.11</v>
      </c>
      <c r="H79">
        <v>0.28999999999999998</v>
      </c>
      <c r="I79" t="s">
        <v>16</v>
      </c>
      <c r="J79" t="s">
        <v>89</v>
      </c>
      <c r="K79">
        <f t="shared" si="1"/>
        <v>5331.4</v>
      </c>
    </row>
    <row r="80" spans="1:11">
      <c r="A80">
        <v>79</v>
      </c>
      <c r="B80" s="1">
        <v>45627</v>
      </c>
      <c r="C80" t="s">
        <v>23</v>
      </c>
      <c r="D80" t="s">
        <v>15</v>
      </c>
      <c r="E80">
        <v>1288.32</v>
      </c>
      <c r="F80">
        <v>5</v>
      </c>
      <c r="G80">
        <v>0.21</v>
      </c>
      <c r="H80">
        <v>0.28000000000000003</v>
      </c>
      <c r="I80" t="s">
        <v>21</v>
      </c>
      <c r="J80" t="s">
        <v>90</v>
      </c>
      <c r="K80">
        <f t="shared" si="1"/>
        <v>6441.5999999999995</v>
      </c>
    </row>
    <row r="81" spans="1:11">
      <c r="A81">
        <v>80</v>
      </c>
      <c r="B81" s="1">
        <v>45631</v>
      </c>
      <c r="C81" t="s">
        <v>31</v>
      </c>
      <c r="D81" t="s">
        <v>11</v>
      </c>
      <c r="E81">
        <v>972.57</v>
      </c>
      <c r="F81">
        <v>1</v>
      </c>
      <c r="G81">
        <v>0.26</v>
      </c>
      <c r="H81">
        <v>0.28999999999999998</v>
      </c>
      <c r="I81" t="s">
        <v>16</v>
      </c>
      <c r="J81" t="s">
        <v>91</v>
      </c>
      <c r="K81">
        <f t="shared" si="1"/>
        <v>972.57</v>
      </c>
    </row>
    <row r="82" spans="1:11">
      <c r="A82">
        <v>81</v>
      </c>
      <c r="B82" s="1">
        <v>45470</v>
      </c>
      <c r="C82" t="s">
        <v>23</v>
      </c>
      <c r="D82" t="s">
        <v>15</v>
      </c>
      <c r="E82">
        <v>873.82</v>
      </c>
      <c r="F82">
        <v>2</v>
      </c>
      <c r="G82">
        <v>0.17</v>
      </c>
      <c r="H82">
        <v>0.14000000000000001</v>
      </c>
      <c r="I82" t="s">
        <v>16</v>
      </c>
      <c r="J82" t="s">
        <v>92</v>
      </c>
      <c r="K82">
        <f t="shared" si="1"/>
        <v>1747.64</v>
      </c>
    </row>
    <row r="83" spans="1:11">
      <c r="A83">
        <v>82</v>
      </c>
      <c r="B83" s="1">
        <v>45621</v>
      </c>
      <c r="C83" t="s">
        <v>31</v>
      </c>
      <c r="D83" t="s">
        <v>11</v>
      </c>
      <c r="E83">
        <v>1235.44</v>
      </c>
      <c r="F83">
        <v>4</v>
      </c>
      <c r="G83">
        <v>0.12</v>
      </c>
      <c r="H83">
        <v>0.39</v>
      </c>
      <c r="I83" t="s">
        <v>12</v>
      </c>
      <c r="J83" t="s">
        <v>32</v>
      </c>
      <c r="K83">
        <f t="shared" si="1"/>
        <v>4941.76</v>
      </c>
    </row>
    <row r="84" spans="1:11">
      <c r="A84">
        <v>83</v>
      </c>
      <c r="B84" s="1">
        <v>45544</v>
      </c>
      <c r="C84" t="s">
        <v>20</v>
      </c>
      <c r="D84" t="s">
        <v>15</v>
      </c>
      <c r="E84">
        <v>329.86</v>
      </c>
      <c r="F84">
        <v>5</v>
      </c>
      <c r="G84">
        <v>0.02</v>
      </c>
      <c r="H84">
        <v>0.13</v>
      </c>
      <c r="I84" t="s">
        <v>24</v>
      </c>
      <c r="J84" t="s">
        <v>79</v>
      </c>
      <c r="K84">
        <f t="shared" si="1"/>
        <v>1649.3000000000002</v>
      </c>
    </row>
    <row r="85" spans="1:11">
      <c r="A85">
        <v>84</v>
      </c>
      <c r="B85" s="1">
        <v>45384</v>
      </c>
      <c r="C85" t="s">
        <v>26</v>
      </c>
      <c r="D85" t="s">
        <v>11</v>
      </c>
      <c r="E85">
        <v>164.3</v>
      </c>
      <c r="F85">
        <v>3</v>
      </c>
      <c r="G85">
        <v>0.1</v>
      </c>
      <c r="H85">
        <v>0.3</v>
      </c>
      <c r="I85" t="s">
        <v>12</v>
      </c>
      <c r="J85" t="s">
        <v>93</v>
      </c>
      <c r="K85">
        <f t="shared" si="1"/>
        <v>492.90000000000003</v>
      </c>
    </row>
    <row r="86" spans="1:11">
      <c r="A86">
        <v>85</v>
      </c>
      <c r="B86" s="1">
        <v>45487</v>
      </c>
      <c r="C86" t="s">
        <v>14</v>
      </c>
      <c r="D86" t="s">
        <v>15</v>
      </c>
      <c r="E86">
        <v>1271.19</v>
      </c>
      <c r="F86">
        <v>2</v>
      </c>
      <c r="G86">
        <v>0.1</v>
      </c>
      <c r="H86">
        <v>0.18</v>
      </c>
      <c r="I86" t="s">
        <v>24</v>
      </c>
      <c r="J86" t="s">
        <v>94</v>
      </c>
      <c r="K86">
        <f t="shared" si="1"/>
        <v>2542.38</v>
      </c>
    </row>
    <row r="87" spans="1:11">
      <c r="A87">
        <v>86</v>
      </c>
      <c r="B87" s="1">
        <v>45508</v>
      </c>
      <c r="C87" t="s">
        <v>31</v>
      </c>
      <c r="D87" t="s">
        <v>11</v>
      </c>
      <c r="E87">
        <v>1047.01</v>
      </c>
      <c r="F87">
        <v>2</v>
      </c>
      <c r="G87">
        <v>0.19</v>
      </c>
      <c r="H87">
        <v>0.36</v>
      </c>
      <c r="I87" t="s">
        <v>24</v>
      </c>
      <c r="J87" t="s">
        <v>95</v>
      </c>
      <c r="K87">
        <f t="shared" si="1"/>
        <v>2094.02</v>
      </c>
    </row>
    <row r="88" spans="1:11">
      <c r="A88">
        <v>87</v>
      </c>
      <c r="B88" s="1">
        <v>45483</v>
      </c>
      <c r="C88" t="s">
        <v>14</v>
      </c>
      <c r="D88" t="s">
        <v>15</v>
      </c>
      <c r="E88">
        <v>1210.1300000000001</v>
      </c>
      <c r="F88">
        <v>1</v>
      </c>
      <c r="G88">
        <v>0.16</v>
      </c>
      <c r="H88">
        <v>0.23</v>
      </c>
      <c r="I88" t="s">
        <v>16</v>
      </c>
      <c r="J88" t="s">
        <v>96</v>
      </c>
      <c r="K88">
        <f t="shared" si="1"/>
        <v>1210.1300000000001</v>
      </c>
    </row>
    <row r="89" spans="1:11">
      <c r="A89">
        <v>88</v>
      </c>
      <c r="B89" s="1">
        <v>45387</v>
      </c>
      <c r="C89" t="s">
        <v>14</v>
      </c>
      <c r="D89" t="s">
        <v>15</v>
      </c>
      <c r="E89">
        <v>874.49</v>
      </c>
      <c r="F89">
        <v>3</v>
      </c>
      <c r="G89">
        <v>0.12</v>
      </c>
      <c r="H89">
        <v>0.21</v>
      </c>
      <c r="I89" t="s">
        <v>21</v>
      </c>
      <c r="J89" t="s">
        <v>39</v>
      </c>
      <c r="K89">
        <f t="shared" si="1"/>
        <v>2623.4700000000003</v>
      </c>
    </row>
    <row r="90" spans="1:11">
      <c r="A90">
        <v>89</v>
      </c>
      <c r="B90" s="1">
        <v>45570</v>
      </c>
      <c r="C90" t="s">
        <v>10</v>
      </c>
      <c r="D90" t="s">
        <v>11</v>
      </c>
      <c r="E90">
        <v>527.69000000000005</v>
      </c>
      <c r="F90">
        <v>5</v>
      </c>
      <c r="G90">
        <v>7.0000000000000007E-2</v>
      </c>
      <c r="H90">
        <v>0.3</v>
      </c>
      <c r="I90" t="s">
        <v>12</v>
      </c>
      <c r="J90" t="s">
        <v>35</v>
      </c>
      <c r="K90">
        <f t="shared" si="1"/>
        <v>2638.4500000000003</v>
      </c>
    </row>
    <row r="91" spans="1:11">
      <c r="A91">
        <v>90</v>
      </c>
      <c r="B91" s="1">
        <v>45375</v>
      </c>
      <c r="C91" t="s">
        <v>23</v>
      </c>
      <c r="D91" t="s">
        <v>15</v>
      </c>
      <c r="E91">
        <v>1137.95</v>
      </c>
      <c r="F91">
        <v>1</v>
      </c>
      <c r="G91">
        <v>0.11</v>
      </c>
      <c r="H91">
        <v>0.26</v>
      </c>
      <c r="I91" t="s">
        <v>12</v>
      </c>
      <c r="J91" t="s">
        <v>92</v>
      </c>
      <c r="K91">
        <f t="shared" si="1"/>
        <v>1137.95</v>
      </c>
    </row>
    <row r="92" spans="1:11">
      <c r="A92">
        <v>91</v>
      </c>
      <c r="B92" s="1">
        <v>45524</v>
      </c>
      <c r="C92" t="s">
        <v>14</v>
      </c>
      <c r="D92" t="s">
        <v>15</v>
      </c>
      <c r="E92">
        <v>1244.02</v>
      </c>
      <c r="F92">
        <v>5</v>
      </c>
      <c r="G92">
        <v>0.27</v>
      </c>
      <c r="H92">
        <v>0.22</v>
      </c>
      <c r="I92" t="s">
        <v>12</v>
      </c>
      <c r="J92" t="s">
        <v>97</v>
      </c>
      <c r="K92">
        <f t="shared" si="1"/>
        <v>6220.1</v>
      </c>
    </row>
    <row r="93" spans="1:11">
      <c r="A93">
        <v>92</v>
      </c>
      <c r="B93" s="1">
        <v>45343</v>
      </c>
      <c r="C93" t="s">
        <v>23</v>
      </c>
      <c r="D93" t="s">
        <v>15</v>
      </c>
      <c r="E93">
        <v>1274.54</v>
      </c>
      <c r="F93">
        <v>1</v>
      </c>
      <c r="G93">
        <v>0.1</v>
      </c>
      <c r="H93">
        <v>0.39</v>
      </c>
      <c r="I93" t="s">
        <v>24</v>
      </c>
      <c r="J93" t="s">
        <v>98</v>
      </c>
      <c r="K93">
        <f t="shared" si="1"/>
        <v>1274.54</v>
      </c>
    </row>
    <row r="94" spans="1:11">
      <c r="A94">
        <v>93</v>
      </c>
      <c r="B94" s="1">
        <v>45344</v>
      </c>
      <c r="C94" t="s">
        <v>31</v>
      </c>
      <c r="D94" t="s">
        <v>11</v>
      </c>
      <c r="E94">
        <v>870.82</v>
      </c>
      <c r="F94">
        <v>5</v>
      </c>
      <c r="G94">
        <v>0.03</v>
      </c>
      <c r="H94">
        <v>0.28000000000000003</v>
      </c>
      <c r="I94" t="s">
        <v>24</v>
      </c>
      <c r="J94" t="s">
        <v>99</v>
      </c>
      <c r="K94">
        <f t="shared" si="1"/>
        <v>4354.1000000000004</v>
      </c>
    </row>
    <row r="95" spans="1:11">
      <c r="A95">
        <v>94</v>
      </c>
      <c r="B95" s="1">
        <v>45477</v>
      </c>
      <c r="C95" t="s">
        <v>26</v>
      </c>
      <c r="D95" t="s">
        <v>11</v>
      </c>
      <c r="E95">
        <v>1192.58</v>
      </c>
      <c r="F95">
        <v>1</v>
      </c>
      <c r="G95">
        <v>0.03</v>
      </c>
      <c r="H95">
        <v>0.38</v>
      </c>
      <c r="I95" t="s">
        <v>21</v>
      </c>
      <c r="J95" t="s">
        <v>100</v>
      </c>
      <c r="K95">
        <f t="shared" si="1"/>
        <v>1192.58</v>
      </c>
    </row>
    <row r="96" spans="1:11">
      <c r="A96">
        <v>95</v>
      </c>
      <c r="B96" s="1">
        <v>45526</v>
      </c>
      <c r="C96" t="s">
        <v>26</v>
      </c>
      <c r="D96" t="s">
        <v>11</v>
      </c>
      <c r="E96">
        <v>109.9</v>
      </c>
      <c r="F96">
        <v>2</v>
      </c>
      <c r="G96">
        <v>0.13</v>
      </c>
      <c r="H96">
        <v>0.37</v>
      </c>
      <c r="I96" t="s">
        <v>12</v>
      </c>
      <c r="J96" t="s">
        <v>43</v>
      </c>
      <c r="K96">
        <f t="shared" si="1"/>
        <v>219.8</v>
      </c>
    </row>
    <row r="97" spans="1:11">
      <c r="A97">
        <v>96</v>
      </c>
      <c r="B97" s="1">
        <v>45544</v>
      </c>
      <c r="C97" t="s">
        <v>23</v>
      </c>
      <c r="D97" t="s">
        <v>15</v>
      </c>
      <c r="E97">
        <v>1066.0999999999999</v>
      </c>
      <c r="F97">
        <v>4</v>
      </c>
      <c r="G97">
        <v>0.21</v>
      </c>
      <c r="H97">
        <v>0.35</v>
      </c>
      <c r="I97" t="s">
        <v>12</v>
      </c>
      <c r="J97" t="s">
        <v>101</v>
      </c>
      <c r="K97">
        <f t="shared" si="1"/>
        <v>4264.3999999999996</v>
      </c>
    </row>
    <row r="98" spans="1:11">
      <c r="A98">
        <v>97</v>
      </c>
      <c r="B98" s="1">
        <v>45574</v>
      </c>
      <c r="C98" t="s">
        <v>26</v>
      </c>
      <c r="D98" t="s">
        <v>11</v>
      </c>
      <c r="E98">
        <v>1261.76</v>
      </c>
      <c r="F98">
        <v>5</v>
      </c>
      <c r="G98">
        <v>7.0000000000000007E-2</v>
      </c>
      <c r="H98">
        <v>0.22</v>
      </c>
      <c r="I98" t="s">
        <v>24</v>
      </c>
      <c r="J98" t="s">
        <v>102</v>
      </c>
      <c r="K98">
        <f t="shared" si="1"/>
        <v>6308.8</v>
      </c>
    </row>
    <row r="99" spans="1:11">
      <c r="A99">
        <v>98</v>
      </c>
      <c r="B99" s="1">
        <v>45427</v>
      </c>
      <c r="C99" t="s">
        <v>14</v>
      </c>
      <c r="D99" t="s">
        <v>15</v>
      </c>
      <c r="E99">
        <v>1066.71</v>
      </c>
      <c r="F99">
        <v>5</v>
      </c>
      <c r="G99">
        <v>0.15</v>
      </c>
      <c r="H99">
        <v>0.17</v>
      </c>
      <c r="I99" t="s">
        <v>16</v>
      </c>
      <c r="J99" t="s">
        <v>103</v>
      </c>
      <c r="K99">
        <f t="shared" si="1"/>
        <v>5333.55</v>
      </c>
    </row>
    <row r="100" spans="1:11">
      <c r="A100">
        <v>99</v>
      </c>
      <c r="B100" s="1">
        <v>45618</v>
      </c>
      <c r="C100" t="s">
        <v>20</v>
      </c>
      <c r="D100" t="s">
        <v>15</v>
      </c>
      <c r="E100">
        <v>577.04999999999995</v>
      </c>
      <c r="F100">
        <v>1</v>
      </c>
      <c r="G100">
        <v>0.26</v>
      </c>
      <c r="H100">
        <v>0.17</v>
      </c>
      <c r="I100" t="s">
        <v>12</v>
      </c>
      <c r="J100" t="s">
        <v>104</v>
      </c>
      <c r="K100">
        <f t="shared" si="1"/>
        <v>577.04999999999995</v>
      </c>
    </row>
    <row r="101" spans="1:11">
      <c r="A101">
        <v>100</v>
      </c>
      <c r="B101" s="1">
        <v>45566</v>
      </c>
      <c r="C101" t="s">
        <v>31</v>
      </c>
      <c r="D101" t="s">
        <v>11</v>
      </c>
      <c r="E101">
        <v>1479.35</v>
      </c>
      <c r="F101">
        <v>4</v>
      </c>
      <c r="G101">
        <v>0.11</v>
      </c>
      <c r="H101">
        <v>0.31</v>
      </c>
      <c r="I101" t="s">
        <v>21</v>
      </c>
      <c r="J101" t="s">
        <v>105</v>
      </c>
      <c r="K101">
        <f t="shared" si="1"/>
        <v>5917.4</v>
      </c>
    </row>
    <row r="102" spans="1:11">
      <c r="A102">
        <v>101</v>
      </c>
      <c r="B102" s="1">
        <v>45417</v>
      </c>
      <c r="C102" t="s">
        <v>23</v>
      </c>
      <c r="D102" t="s">
        <v>15</v>
      </c>
      <c r="E102">
        <v>1171.29</v>
      </c>
      <c r="F102">
        <v>3</v>
      </c>
      <c r="G102">
        <v>7.0000000000000007E-2</v>
      </c>
      <c r="H102">
        <v>0.2</v>
      </c>
      <c r="I102" t="s">
        <v>21</v>
      </c>
      <c r="J102" t="s">
        <v>106</v>
      </c>
      <c r="K102">
        <f t="shared" si="1"/>
        <v>3513.87</v>
      </c>
    </row>
    <row r="103" spans="1:11">
      <c r="A103">
        <v>102</v>
      </c>
      <c r="B103" s="1">
        <v>45439</v>
      </c>
      <c r="C103" t="s">
        <v>20</v>
      </c>
      <c r="D103" t="s">
        <v>15</v>
      </c>
      <c r="E103">
        <v>751.62</v>
      </c>
      <c r="F103">
        <v>5</v>
      </c>
      <c r="G103">
        <v>0.12</v>
      </c>
      <c r="H103">
        <v>0.27</v>
      </c>
      <c r="I103" t="s">
        <v>21</v>
      </c>
      <c r="J103" t="s">
        <v>107</v>
      </c>
      <c r="K103">
        <f t="shared" si="1"/>
        <v>3758.1</v>
      </c>
    </row>
    <row r="104" spans="1:11">
      <c r="A104">
        <v>103</v>
      </c>
      <c r="B104" s="1">
        <v>45639</v>
      </c>
      <c r="C104" t="s">
        <v>23</v>
      </c>
      <c r="D104" t="s">
        <v>15</v>
      </c>
      <c r="E104">
        <v>200.26</v>
      </c>
      <c r="F104">
        <v>5</v>
      </c>
      <c r="G104">
        <v>0.25</v>
      </c>
      <c r="H104">
        <v>0.32</v>
      </c>
      <c r="I104" t="s">
        <v>12</v>
      </c>
      <c r="J104" t="s">
        <v>64</v>
      </c>
      <c r="K104">
        <f t="shared" si="1"/>
        <v>1001.3</v>
      </c>
    </row>
    <row r="105" spans="1:11">
      <c r="A105">
        <v>104</v>
      </c>
      <c r="B105" s="1">
        <v>45408</v>
      </c>
      <c r="C105" t="s">
        <v>14</v>
      </c>
      <c r="D105" t="s">
        <v>15</v>
      </c>
      <c r="E105">
        <v>1444.2</v>
      </c>
      <c r="F105">
        <v>4</v>
      </c>
      <c r="G105">
        <v>0.09</v>
      </c>
      <c r="H105">
        <v>0.36</v>
      </c>
      <c r="I105" t="s">
        <v>21</v>
      </c>
      <c r="J105" t="s">
        <v>108</v>
      </c>
      <c r="K105">
        <f t="shared" si="1"/>
        <v>5776.8</v>
      </c>
    </row>
    <row r="106" spans="1:11">
      <c r="A106">
        <v>105</v>
      </c>
      <c r="B106" s="1">
        <v>45594</v>
      </c>
      <c r="C106" t="s">
        <v>26</v>
      </c>
      <c r="D106" t="s">
        <v>11</v>
      </c>
      <c r="E106">
        <v>1445.75</v>
      </c>
      <c r="F106">
        <v>4</v>
      </c>
      <c r="G106">
        <v>0.28999999999999998</v>
      </c>
      <c r="H106">
        <v>0.27</v>
      </c>
      <c r="I106" t="s">
        <v>16</v>
      </c>
      <c r="J106" t="s">
        <v>109</v>
      </c>
      <c r="K106">
        <f t="shared" si="1"/>
        <v>5783</v>
      </c>
    </row>
    <row r="107" spans="1:11">
      <c r="A107">
        <v>106</v>
      </c>
      <c r="B107" s="1">
        <v>45518</v>
      </c>
      <c r="C107" t="s">
        <v>20</v>
      </c>
      <c r="D107" t="s">
        <v>15</v>
      </c>
      <c r="E107">
        <v>1339.44</v>
      </c>
      <c r="F107">
        <v>5</v>
      </c>
      <c r="G107">
        <v>0.3</v>
      </c>
      <c r="H107">
        <v>0.12</v>
      </c>
      <c r="I107" t="s">
        <v>24</v>
      </c>
      <c r="J107" t="s">
        <v>80</v>
      </c>
      <c r="K107">
        <f t="shared" si="1"/>
        <v>6697.2000000000007</v>
      </c>
    </row>
    <row r="108" spans="1:11">
      <c r="A108">
        <v>107</v>
      </c>
      <c r="B108" s="1">
        <v>45305</v>
      </c>
      <c r="C108" t="s">
        <v>31</v>
      </c>
      <c r="D108" t="s">
        <v>11</v>
      </c>
      <c r="E108">
        <v>1050.73</v>
      </c>
      <c r="F108">
        <v>1</v>
      </c>
      <c r="G108">
        <v>0.16</v>
      </c>
      <c r="H108">
        <v>0.28999999999999998</v>
      </c>
      <c r="I108" t="s">
        <v>21</v>
      </c>
      <c r="J108" t="s">
        <v>110</v>
      </c>
      <c r="K108">
        <f t="shared" si="1"/>
        <v>1050.73</v>
      </c>
    </row>
    <row r="109" spans="1:11">
      <c r="A109">
        <v>108</v>
      </c>
      <c r="B109" s="1">
        <v>45435</v>
      </c>
      <c r="C109" t="s">
        <v>20</v>
      </c>
      <c r="D109" t="s">
        <v>15</v>
      </c>
      <c r="E109">
        <v>459.38</v>
      </c>
      <c r="F109">
        <v>1</v>
      </c>
      <c r="G109">
        <v>0.19</v>
      </c>
      <c r="H109">
        <v>0.28000000000000003</v>
      </c>
      <c r="I109" t="s">
        <v>12</v>
      </c>
      <c r="J109" t="s">
        <v>111</v>
      </c>
      <c r="K109">
        <f t="shared" si="1"/>
        <v>459.38</v>
      </c>
    </row>
    <row r="110" spans="1:11">
      <c r="A110">
        <v>109</v>
      </c>
      <c r="B110" s="1">
        <v>45649</v>
      </c>
      <c r="C110" t="s">
        <v>23</v>
      </c>
      <c r="D110" t="s">
        <v>15</v>
      </c>
      <c r="E110">
        <v>1112.22</v>
      </c>
      <c r="F110">
        <v>3</v>
      </c>
      <c r="G110">
        <v>0.08</v>
      </c>
      <c r="H110">
        <v>0.39</v>
      </c>
      <c r="I110" t="s">
        <v>16</v>
      </c>
      <c r="J110" t="s">
        <v>112</v>
      </c>
      <c r="K110">
        <f t="shared" si="1"/>
        <v>3336.66</v>
      </c>
    </row>
    <row r="111" spans="1:11">
      <c r="A111">
        <v>110</v>
      </c>
      <c r="B111" s="1">
        <v>45455</v>
      </c>
      <c r="C111" t="s">
        <v>20</v>
      </c>
      <c r="D111" t="s">
        <v>15</v>
      </c>
      <c r="E111">
        <v>697.09</v>
      </c>
      <c r="F111">
        <v>4</v>
      </c>
      <c r="G111">
        <v>0.1</v>
      </c>
      <c r="H111">
        <v>0.15</v>
      </c>
      <c r="I111" t="s">
        <v>12</v>
      </c>
      <c r="J111" t="s">
        <v>113</v>
      </c>
      <c r="K111">
        <f t="shared" si="1"/>
        <v>2788.36</v>
      </c>
    </row>
    <row r="112" spans="1:11">
      <c r="A112">
        <v>111</v>
      </c>
      <c r="B112" s="1">
        <v>45648</v>
      </c>
      <c r="C112" t="s">
        <v>14</v>
      </c>
      <c r="D112" t="s">
        <v>15</v>
      </c>
      <c r="E112">
        <v>708.96</v>
      </c>
      <c r="F112">
        <v>2</v>
      </c>
      <c r="G112">
        <v>7.0000000000000007E-2</v>
      </c>
      <c r="H112">
        <v>0.18</v>
      </c>
      <c r="I112" t="s">
        <v>12</v>
      </c>
      <c r="J112" t="s">
        <v>114</v>
      </c>
      <c r="K112">
        <f t="shared" si="1"/>
        <v>1417.92</v>
      </c>
    </row>
    <row r="113" spans="1:11">
      <c r="A113">
        <v>112</v>
      </c>
      <c r="B113" s="1">
        <v>45503</v>
      </c>
      <c r="C113" t="s">
        <v>26</v>
      </c>
      <c r="D113" t="s">
        <v>11</v>
      </c>
      <c r="E113">
        <v>1462.23</v>
      </c>
      <c r="F113">
        <v>3</v>
      </c>
      <c r="G113">
        <v>0.21</v>
      </c>
      <c r="H113">
        <v>0.26</v>
      </c>
      <c r="I113" t="s">
        <v>21</v>
      </c>
      <c r="J113" t="s">
        <v>91</v>
      </c>
      <c r="K113">
        <f t="shared" si="1"/>
        <v>4386.6900000000005</v>
      </c>
    </row>
    <row r="114" spans="1:11">
      <c r="A114">
        <v>113</v>
      </c>
      <c r="B114" s="1">
        <v>45373</v>
      </c>
      <c r="C114" t="s">
        <v>20</v>
      </c>
      <c r="D114" t="s">
        <v>15</v>
      </c>
      <c r="E114">
        <v>914.1</v>
      </c>
      <c r="F114">
        <v>5</v>
      </c>
      <c r="G114">
        <v>0.04</v>
      </c>
      <c r="H114">
        <v>0.12</v>
      </c>
      <c r="I114" t="s">
        <v>12</v>
      </c>
      <c r="J114" t="s">
        <v>115</v>
      </c>
      <c r="K114">
        <f t="shared" si="1"/>
        <v>4570.5</v>
      </c>
    </row>
    <row r="115" spans="1:11">
      <c r="A115">
        <v>114</v>
      </c>
      <c r="B115" s="1">
        <v>45603</v>
      </c>
      <c r="C115" t="s">
        <v>20</v>
      </c>
      <c r="D115" t="s">
        <v>15</v>
      </c>
      <c r="E115">
        <v>639.54</v>
      </c>
      <c r="F115">
        <v>5</v>
      </c>
      <c r="G115">
        <v>0.18</v>
      </c>
      <c r="H115">
        <v>0.23</v>
      </c>
      <c r="I115" t="s">
        <v>16</v>
      </c>
      <c r="J115" t="s">
        <v>116</v>
      </c>
      <c r="K115">
        <f t="shared" si="1"/>
        <v>3197.7</v>
      </c>
    </row>
    <row r="116" spans="1:11">
      <c r="A116">
        <v>115</v>
      </c>
      <c r="B116" s="1">
        <v>45580</v>
      </c>
      <c r="C116" t="s">
        <v>20</v>
      </c>
      <c r="D116" t="s">
        <v>15</v>
      </c>
      <c r="E116">
        <v>1318.08</v>
      </c>
      <c r="F116">
        <v>3</v>
      </c>
      <c r="G116">
        <v>0.01</v>
      </c>
      <c r="H116">
        <v>0.11</v>
      </c>
      <c r="I116" t="s">
        <v>24</v>
      </c>
      <c r="J116" t="s">
        <v>117</v>
      </c>
      <c r="K116">
        <f t="shared" si="1"/>
        <v>3954.24</v>
      </c>
    </row>
    <row r="117" spans="1:11">
      <c r="A117">
        <v>116</v>
      </c>
      <c r="B117" s="1">
        <v>45632</v>
      </c>
      <c r="C117" t="s">
        <v>14</v>
      </c>
      <c r="D117" t="s">
        <v>15</v>
      </c>
      <c r="E117">
        <v>1171.96</v>
      </c>
      <c r="F117">
        <v>2</v>
      </c>
      <c r="G117">
        <v>0.3</v>
      </c>
      <c r="H117">
        <v>0.15</v>
      </c>
      <c r="I117" t="s">
        <v>12</v>
      </c>
      <c r="J117" t="s">
        <v>118</v>
      </c>
      <c r="K117">
        <f t="shared" si="1"/>
        <v>2343.92</v>
      </c>
    </row>
    <row r="118" spans="1:11">
      <c r="A118">
        <v>117</v>
      </c>
      <c r="B118" s="1">
        <v>45389</v>
      </c>
      <c r="C118" t="s">
        <v>23</v>
      </c>
      <c r="D118" t="s">
        <v>15</v>
      </c>
      <c r="E118">
        <v>1130.6300000000001</v>
      </c>
      <c r="F118">
        <v>1</v>
      </c>
      <c r="G118">
        <v>0.28999999999999998</v>
      </c>
      <c r="H118">
        <v>0.35</v>
      </c>
      <c r="I118" t="s">
        <v>12</v>
      </c>
      <c r="J118" t="s">
        <v>119</v>
      </c>
      <c r="K118">
        <f t="shared" si="1"/>
        <v>1130.6300000000001</v>
      </c>
    </row>
    <row r="119" spans="1:11">
      <c r="A119">
        <v>118</v>
      </c>
      <c r="B119" s="1">
        <v>45488</v>
      </c>
      <c r="C119" t="s">
        <v>10</v>
      </c>
      <c r="D119" t="s">
        <v>11</v>
      </c>
      <c r="E119">
        <v>79.31</v>
      </c>
      <c r="F119">
        <v>1</v>
      </c>
      <c r="G119">
        <v>0</v>
      </c>
      <c r="H119">
        <v>0.12</v>
      </c>
      <c r="I119" t="s">
        <v>21</v>
      </c>
      <c r="J119" t="s">
        <v>110</v>
      </c>
      <c r="K119">
        <f t="shared" si="1"/>
        <v>79.31</v>
      </c>
    </row>
    <row r="120" spans="1:11">
      <c r="A120">
        <v>119</v>
      </c>
      <c r="B120" s="1">
        <v>45456</v>
      </c>
      <c r="C120" t="s">
        <v>20</v>
      </c>
      <c r="D120" t="s">
        <v>15</v>
      </c>
      <c r="E120">
        <v>1499.58</v>
      </c>
      <c r="F120">
        <v>3</v>
      </c>
      <c r="G120">
        <v>0.17</v>
      </c>
      <c r="H120">
        <v>0.33</v>
      </c>
      <c r="I120" t="s">
        <v>21</v>
      </c>
      <c r="J120" t="s">
        <v>120</v>
      </c>
      <c r="K120">
        <f t="shared" si="1"/>
        <v>4498.74</v>
      </c>
    </row>
    <row r="121" spans="1:11">
      <c r="A121">
        <v>120</v>
      </c>
      <c r="B121" s="1">
        <v>45292</v>
      </c>
      <c r="C121" t="s">
        <v>23</v>
      </c>
      <c r="D121" t="s">
        <v>15</v>
      </c>
      <c r="E121">
        <v>1141.69</v>
      </c>
      <c r="F121">
        <v>3</v>
      </c>
      <c r="G121">
        <v>7.0000000000000007E-2</v>
      </c>
      <c r="H121">
        <v>0.24</v>
      </c>
      <c r="I121" t="s">
        <v>21</v>
      </c>
      <c r="J121" t="s">
        <v>121</v>
      </c>
      <c r="K121">
        <f t="shared" si="1"/>
        <v>3425.07</v>
      </c>
    </row>
    <row r="122" spans="1:11">
      <c r="A122">
        <v>121</v>
      </c>
      <c r="B122" s="1">
        <v>45579</v>
      </c>
      <c r="C122" t="s">
        <v>20</v>
      </c>
      <c r="D122" t="s">
        <v>15</v>
      </c>
      <c r="E122">
        <v>1432.23</v>
      </c>
      <c r="F122">
        <v>5</v>
      </c>
      <c r="G122">
        <v>0.06</v>
      </c>
      <c r="H122">
        <v>0.36</v>
      </c>
      <c r="I122" t="s">
        <v>21</v>
      </c>
      <c r="J122" t="s">
        <v>107</v>
      </c>
      <c r="K122">
        <f t="shared" si="1"/>
        <v>7161.15</v>
      </c>
    </row>
    <row r="123" spans="1:11">
      <c r="A123">
        <v>122</v>
      </c>
      <c r="B123" s="1">
        <v>45550</v>
      </c>
      <c r="C123" t="s">
        <v>20</v>
      </c>
      <c r="D123" t="s">
        <v>15</v>
      </c>
      <c r="E123">
        <v>94.17</v>
      </c>
      <c r="F123">
        <v>2</v>
      </c>
      <c r="G123">
        <v>0.15</v>
      </c>
      <c r="H123">
        <v>0.24</v>
      </c>
      <c r="I123" t="s">
        <v>16</v>
      </c>
      <c r="J123" t="s">
        <v>69</v>
      </c>
      <c r="K123">
        <f t="shared" si="1"/>
        <v>188.34</v>
      </c>
    </row>
    <row r="124" spans="1:11">
      <c r="A124">
        <v>123</v>
      </c>
      <c r="B124" s="1">
        <v>45513</v>
      </c>
      <c r="C124" t="s">
        <v>10</v>
      </c>
      <c r="D124" t="s">
        <v>11</v>
      </c>
      <c r="E124">
        <v>792.24</v>
      </c>
      <c r="F124">
        <v>4</v>
      </c>
      <c r="G124">
        <v>0.24</v>
      </c>
      <c r="H124">
        <v>0.39</v>
      </c>
      <c r="I124" t="s">
        <v>12</v>
      </c>
      <c r="J124" t="s">
        <v>122</v>
      </c>
      <c r="K124">
        <f t="shared" si="1"/>
        <v>3168.96</v>
      </c>
    </row>
    <row r="125" spans="1:11">
      <c r="A125">
        <v>124</v>
      </c>
      <c r="B125" s="1">
        <v>45498</v>
      </c>
      <c r="C125" t="s">
        <v>10</v>
      </c>
      <c r="D125" t="s">
        <v>11</v>
      </c>
      <c r="E125">
        <v>1192.93</v>
      </c>
      <c r="F125">
        <v>1</v>
      </c>
      <c r="G125">
        <v>0.04</v>
      </c>
      <c r="H125">
        <v>0.11</v>
      </c>
      <c r="I125" t="s">
        <v>12</v>
      </c>
      <c r="J125" t="s">
        <v>123</v>
      </c>
      <c r="K125">
        <f t="shared" si="1"/>
        <v>1192.93</v>
      </c>
    </row>
    <row r="126" spans="1:11">
      <c r="A126">
        <v>125</v>
      </c>
      <c r="B126" s="1">
        <v>45483</v>
      </c>
      <c r="C126" t="s">
        <v>26</v>
      </c>
      <c r="D126" t="s">
        <v>11</v>
      </c>
      <c r="E126">
        <v>1182.3900000000001</v>
      </c>
      <c r="F126">
        <v>2</v>
      </c>
      <c r="G126">
        <v>0.24</v>
      </c>
      <c r="H126">
        <v>0.37</v>
      </c>
      <c r="I126" t="s">
        <v>24</v>
      </c>
      <c r="J126" t="s">
        <v>124</v>
      </c>
      <c r="K126">
        <f t="shared" si="1"/>
        <v>2364.7800000000002</v>
      </c>
    </row>
    <row r="127" spans="1:11">
      <c r="A127">
        <v>126</v>
      </c>
      <c r="B127" s="1">
        <v>45638</v>
      </c>
      <c r="C127" t="s">
        <v>10</v>
      </c>
      <c r="D127" t="s">
        <v>11</v>
      </c>
      <c r="E127">
        <v>46.45</v>
      </c>
      <c r="F127">
        <v>2</v>
      </c>
      <c r="G127">
        <v>0.18</v>
      </c>
      <c r="H127">
        <v>0.22</v>
      </c>
      <c r="I127" t="s">
        <v>24</v>
      </c>
      <c r="J127" t="s">
        <v>51</v>
      </c>
      <c r="K127">
        <f t="shared" si="1"/>
        <v>92.9</v>
      </c>
    </row>
    <row r="128" spans="1:11">
      <c r="A128">
        <v>127</v>
      </c>
      <c r="B128" s="1">
        <v>45626</v>
      </c>
      <c r="C128" t="s">
        <v>20</v>
      </c>
      <c r="D128" t="s">
        <v>15</v>
      </c>
      <c r="E128">
        <v>159.22999999999999</v>
      </c>
      <c r="F128">
        <v>2</v>
      </c>
      <c r="G128">
        <v>0.1</v>
      </c>
      <c r="H128">
        <v>0.25</v>
      </c>
      <c r="I128" t="s">
        <v>16</v>
      </c>
      <c r="J128" t="s">
        <v>53</v>
      </c>
      <c r="K128">
        <f t="shared" si="1"/>
        <v>318.45999999999998</v>
      </c>
    </row>
    <row r="129" spans="1:11">
      <c r="A129">
        <v>128</v>
      </c>
      <c r="B129" s="1">
        <v>45429</v>
      </c>
      <c r="C129" t="s">
        <v>14</v>
      </c>
      <c r="D129" t="s">
        <v>15</v>
      </c>
      <c r="E129">
        <v>609.9</v>
      </c>
      <c r="F129">
        <v>2</v>
      </c>
      <c r="G129">
        <v>0.26</v>
      </c>
      <c r="H129">
        <v>0.38</v>
      </c>
      <c r="I129" t="s">
        <v>16</v>
      </c>
      <c r="J129" t="s">
        <v>29</v>
      </c>
      <c r="K129">
        <f t="shared" si="1"/>
        <v>1219.8</v>
      </c>
    </row>
    <row r="130" spans="1:11">
      <c r="A130">
        <v>129</v>
      </c>
      <c r="B130" s="1">
        <v>45360</v>
      </c>
      <c r="C130" t="s">
        <v>26</v>
      </c>
      <c r="D130" t="s">
        <v>11</v>
      </c>
      <c r="E130">
        <v>1391.72</v>
      </c>
      <c r="F130">
        <v>2</v>
      </c>
      <c r="G130">
        <v>0.23</v>
      </c>
      <c r="H130">
        <v>0.12</v>
      </c>
      <c r="I130" t="s">
        <v>12</v>
      </c>
      <c r="J130" t="s">
        <v>125</v>
      </c>
      <c r="K130">
        <f t="shared" si="1"/>
        <v>2783.44</v>
      </c>
    </row>
    <row r="131" spans="1:11">
      <c r="A131">
        <v>130</v>
      </c>
      <c r="B131" s="1">
        <v>45334</v>
      </c>
      <c r="C131" t="s">
        <v>20</v>
      </c>
      <c r="D131" t="s">
        <v>15</v>
      </c>
      <c r="E131">
        <v>1470.55</v>
      </c>
      <c r="F131">
        <v>5</v>
      </c>
      <c r="G131">
        <v>0.1</v>
      </c>
      <c r="H131">
        <v>0.16</v>
      </c>
      <c r="I131" t="s">
        <v>12</v>
      </c>
      <c r="J131" t="s">
        <v>126</v>
      </c>
      <c r="K131">
        <f t="shared" si="1"/>
        <v>7352.75</v>
      </c>
    </row>
    <row r="132" spans="1:11">
      <c r="A132">
        <v>131</v>
      </c>
      <c r="B132" s="1">
        <v>45627</v>
      </c>
      <c r="C132" t="s">
        <v>23</v>
      </c>
      <c r="D132" t="s">
        <v>15</v>
      </c>
      <c r="E132">
        <v>379.21</v>
      </c>
      <c r="F132">
        <v>3</v>
      </c>
      <c r="G132">
        <v>0.16</v>
      </c>
      <c r="H132">
        <v>0.24</v>
      </c>
      <c r="I132" t="s">
        <v>16</v>
      </c>
      <c r="J132" t="s">
        <v>113</v>
      </c>
      <c r="K132">
        <f t="shared" ref="K132:K195" si="2">E132*F132</f>
        <v>1137.6299999999999</v>
      </c>
    </row>
    <row r="133" spans="1:11">
      <c r="A133">
        <v>132</v>
      </c>
      <c r="B133" s="1">
        <v>45486</v>
      </c>
      <c r="C133" t="s">
        <v>31</v>
      </c>
      <c r="D133" t="s">
        <v>11</v>
      </c>
      <c r="E133">
        <v>249.06</v>
      </c>
      <c r="F133">
        <v>4</v>
      </c>
      <c r="G133">
        <v>0.05</v>
      </c>
      <c r="H133">
        <v>0.2</v>
      </c>
      <c r="I133" t="s">
        <v>21</v>
      </c>
      <c r="J133" t="s">
        <v>95</v>
      </c>
      <c r="K133">
        <f t="shared" si="2"/>
        <v>996.24</v>
      </c>
    </row>
    <row r="134" spans="1:11">
      <c r="A134">
        <v>133</v>
      </c>
      <c r="B134" s="1">
        <v>45413</v>
      </c>
      <c r="C134" t="s">
        <v>31</v>
      </c>
      <c r="D134" t="s">
        <v>11</v>
      </c>
      <c r="E134">
        <v>1314.62</v>
      </c>
      <c r="F134">
        <v>3</v>
      </c>
      <c r="G134">
        <v>0.2</v>
      </c>
      <c r="H134">
        <v>0.15</v>
      </c>
      <c r="I134" t="s">
        <v>12</v>
      </c>
      <c r="J134" t="s">
        <v>127</v>
      </c>
      <c r="K134">
        <f t="shared" si="2"/>
        <v>3943.8599999999997</v>
      </c>
    </row>
    <row r="135" spans="1:11">
      <c r="A135">
        <v>134</v>
      </c>
      <c r="B135" s="1">
        <v>45608</v>
      </c>
      <c r="C135" t="s">
        <v>23</v>
      </c>
      <c r="D135" t="s">
        <v>15</v>
      </c>
      <c r="E135">
        <v>355.18</v>
      </c>
      <c r="F135">
        <v>5</v>
      </c>
      <c r="G135">
        <v>0.05</v>
      </c>
      <c r="H135">
        <v>0.18</v>
      </c>
      <c r="I135" t="s">
        <v>24</v>
      </c>
      <c r="J135" t="s">
        <v>128</v>
      </c>
      <c r="K135">
        <f t="shared" si="2"/>
        <v>1775.9</v>
      </c>
    </row>
    <row r="136" spans="1:11">
      <c r="A136">
        <v>135</v>
      </c>
      <c r="B136" s="1">
        <v>45337</v>
      </c>
      <c r="C136" t="s">
        <v>26</v>
      </c>
      <c r="D136" t="s">
        <v>11</v>
      </c>
      <c r="E136">
        <v>71.91</v>
      </c>
      <c r="F136">
        <v>1</v>
      </c>
      <c r="G136">
        <v>0.16</v>
      </c>
      <c r="H136">
        <v>0.21</v>
      </c>
      <c r="I136" t="s">
        <v>24</v>
      </c>
      <c r="J136" t="s">
        <v>129</v>
      </c>
      <c r="K136">
        <f t="shared" si="2"/>
        <v>71.91</v>
      </c>
    </row>
    <row r="137" spans="1:11">
      <c r="A137">
        <v>136</v>
      </c>
      <c r="B137" s="1">
        <v>45540</v>
      </c>
      <c r="C137" t="s">
        <v>31</v>
      </c>
      <c r="D137" t="s">
        <v>11</v>
      </c>
      <c r="E137">
        <v>562.29999999999995</v>
      </c>
      <c r="F137">
        <v>2</v>
      </c>
      <c r="G137">
        <v>0.21</v>
      </c>
      <c r="H137">
        <v>0.11</v>
      </c>
      <c r="I137" t="s">
        <v>21</v>
      </c>
      <c r="J137" t="s">
        <v>130</v>
      </c>
      <c r="K137">
        <f t="shared" si="2"/>
        <v>1124.5999999999999</v>
      </c>
    </row>
    <row r="138" spans="1:11">
      <c r="A138">
        <v>137</v>
      </c>
      <c r="B138" s="1">
        <v>45317</v>
      </c>
      <c r="C138" t="s">
        <v>20</v>
      </c>
      <c r="D138" t="s">
        <v>15</v>
      </c>
      <c r="E138">
        <v>734.69</v>
      </c>
      <c r="F138">
        <v>3</v>
      </c>
      <c r="G138">
        <v>0.28000000000000003</v>
      </c>
      <c r="H138">
        <v>0.12</v>
      </c>
      <c r="I138" t="s">
        <v>24</v>
      </c>
      <c r="J138" t="s">
        <v>131</v>
      </c>
      <c r="K138">
        <f t="shared" si="2"/>
        <v>2204.0700000000002</v>
      </c>
    </row>
    <row r="139" spans="1:11">
      <c r="A139">
        <v>138</v>
      </c>
      <c r="B139" s="1">
        <v>45594</v>
      </c>
      <c r="C139" t="s">
        <v>10</v>
      </c>
      <c r="D139" t="s">
        <v>11</v>
      </c>
      <c r="E139">
        <v>1305.74</v>
      </c>
      <c r="F139">
        <v>1</v>
      </c>
      <c r="G139">
        <v>0.18</v>
      </c>
      <c r="H139">
        <v>0.4</v>
      </c>
      <c r="I139" t="s">
        <v>24</v>
      </c>
      <c r="J139" t="s">
        <v>132</v>
      </c>
      <c r="K139">
        <f t="shared" si="2"/>
        <v>1305.74</v>
      </c>
    </row>
    <row r="140" spans="1:11">
      <c r="A140">
        <v>139</v>
      </c>
      <c r="B140" s="1">
        <v>45656</v>
      </c>
      <c r="C140" t="s">
        <v>23</v>
      </c>
      <c r="D140" t="s">
        <v>15</v>
      </c>
      <c r="E140">
        <v>571.45000000000005</v>
      </c>
      <c r="F140">
        <v>2</v>
      </c>
      <c r="G140">
        <v>0.23</v>
      </c>
      <c r="H140">
        <v>0.26</v>
      </c>
      <c r="I140" t="s">
        <v>12</v>
      </c>
      <c r="J140" t="s">
        <v>34</v>
      </c>
      <c r="K140">
        <f t="shared" si="2"/>
        <v>1142.9000000000001</v>
      </c>
    </row>
    <row r="141" spans="1:11">
      <c r="A141">
        <v>140</v>
      </c>
      <c r="B141" s="1">
        <v>45402</v>
      </c>
      <c r="C141" t="s">
        <v>14</v>
      </c>
      <c r="D141" t="s">
        <v>15</v>
      </c>
      <c r="E141">
        <v>116.95</v>
      </c>
      <c r="F141">
        <v>3</v>
      </c>
      <c r="G141">
        <v>0.08</v>
      </c>
      <c r="H141">
        <v>0.31</v>
      </c>
      <c r="I141" t="s">
        <v>24</v>
      </c>
      <c r="J141" t="s">
        <v>98</v>
      </c>
      <c r="K141">
        <f t="shared" si="2"/>
        <v>350.85</v>
      </c>
    </row>
    <row r="142" spans="1:11">
      <c r="A142">
        <v>141</v>
      </c>
      <c r="B142" s="1">
        <v>45585</v>
      </c>
      <c r="C142" t="s">
        <v>26</v>
      </c>
      <c r="D142" t="s">
        <v>11</v>
      </c>
      <c r="E142">
        <v>1270.55</v>
      </c>
      <c r="F142">
        <v>3</v>
      </c>
      <c r="G142">
        <v>0.16</v>
      </c>
      <c r="H142">
        <v>0.13</v>
      </c>
      <c r="I142" t="s">
        <v>12</v>
      </c>
      <c r="J142" t="s">
        <v>133</v>
      </c>
      <c r="K142">
        <f t="shared" si="2"/>
        <v>3811.6499999999996</v>
      </c>
    </row>
    <row r="143" spans="1:11">
      <c r="A143">
        <v>142</v>
      </c>
      <c r="B143" s="1">
        <v>45330</v>
      </c>
      <c r="C143" t="s">
        <v>26</v>
      </c>
      <c r="D143" t="s">
        <v>11</v>
      </c>
      <c r="E143">
        <v>810.61</v>
      </c>
      <c r="F143">
        <v>1</v>
      </c>
      <c r="G143">
        <v>0.22</v>
      </c>
      <c r="H143">
        <v>0.15</v>
      </c>
      <c r="I143" t="s">
        <v>12</v>
      </c>
      <c r="J143" t="s">
        <v>134</v>
      </c>
      <c r="K143">
        <f t="shared" si="2"/>
        <v>810.61</v>
      </c>
    </row>
    <row r="144" spans="1:11">
      <c r="A144">
        <v>143</v>
      </c>
      <c r="B144" s="1">
        <v>45304</v>
      </c>
      <c r="C144" t="s">
        <v>10</v>
      </c>
      <c r="D144" t="s">
        <v>11</v>
      </c>
      <c r="E144">
        <v>500.07</v>
      </c>
      <c r="F144">
        <v>2</v>
      </c>
      <c r="G144">
        <v>0.16</v>
      </c>
      <c r="H144">
        <v>0.17</v>
      </c>
      <c r="I144" t="s">
        <v>12</v>
      </c>
      <c r="J144" t="s">
        <v>135</v>
      </c>
      <c r="K144">
        <f t="shared" si="2"/>
        <v>1000.14</v>
      </c>
    </row>
    <row r="145" spans="1:11">
      <c r="A145">
        <v>144</v>
      </c>
      <c r="B145" s="1">
        <v>45437</v>
      </c>
      <c r="C145" t="s">
        <v>20</v>
      </c>
      <c r="D145" t="s">
        <v>15</v>
      </c>
      <c r="E145">
        <v>900.55</v>
      </c>
      <c r="F145">
        <v>4</v>
      </c>
      <c r="G145">
        <v>0.11</v>
      </c>
      <c r="H145">
        <v>0.28999999999999998</v>
      </c>
      <c r="I145" t="s">
        <v>24</v>
      </c>
      <c r="J145" t="s">
        <v>136</v>
      </c>
      <c r="K145">
        <f t="shared" si="2"/>
        <v>3602.2</v>
      </c>
    </row>
    <row r="146" spans="1:11">
      <c r="A146">
        <v>145</v>
      </c>
      <c r="B146" s="1">
        <v>45527</v>
      </c>
      <c r="C146" t="s">
        <v>31</v>
      </c>
      <c r="D146" t="s">
        <v>11</v>
      </c>
      <c r="E146">
        <v>153.21</v>
      </c>
      <c r="F146">
        <v>2</v>
      </c>
      <c r="G146">
        <v>0.17</v>
      </c>
      <c r="H146">
        <v>0.28000000000000003</v>
      </c>
      <c r="I146" t="s">
        <v>21</v>
      </c>
      <c r="J146" t="s">
        <v>137</v>
      </c>
      <c r="K146">
        <f t="shared" si="2"/>
        <v>306.42</v>
      </c>
    </row>
    <row r="147" spans="1:11">
      <c r="A147">
        <v>146</v>
      </c>
      <c r="B147" s="1">
        <v>45611</v>
      </c>
      <c r="C147" t="s">
        <v>31</v>
      </c>
      <c r="D147" t="s">
        <v>11</v>
      </c>
      <c r="E147">
        <v>213.18</v>
      </c>
      <c r="F147">
        <v>1</v>
      </c>
      <c r="G147">
        <v>0.1</v>
      </c>
      <c r="H147">
        <v>0.37</v>
      </c>
      <c r="I147" t="s">
        <v>12</v>
      </c>
      <c r="J147" t="s">
        <v>103</v>
      </c>
      <c r="K147">
        <f t="shared" si="2"/>
        <v>213.18</v>
      </c>
    </row>
    <row r="148" spans="1:11">
      <c r="A148">
        <v>147</v>
      </c>
      <c r="B148" s="1">
        <v>45580</v>
      </c>
      <c r="C148" t="s">
        <v>14</v>
      </c>
      <c r="D148" t="s">
        <v>15</v>
      </c>
      <c r="E148">
        <v>866.9</v>
      </c>
      <c r="F148">
        <v>3</v>
      </c>
      <c r="G148">
        <v>0.3</v>
      </c>
      <c r="H148">
        <v>0.28000000000000003</v>
      </c>
      <c r="I148" t="s">
        <v>12</v>
      </c>
      <c r="J148" t="s">
        <v>138</v>
      </c>
      <c r="K148">
        <f t="shared" si="2"/>
        <v>2600.6999999999998</v>
      </c>
    </row>
    <row r="149" spans="1:11">
      <c r="A149">
        <v>148</v>
      </c>
      <c r="B149" s="1">
        <v>45295</v>
      </c>
      <c r="C149" t="s">
        <v>26</v>
      </c>
      <c r="D149" t="s">
        <v>11</v>
      </c>
      <c r="E149">
        <v>36.11</v>
      </c>
      <c r="F149">
        <v>5</v>
      </c>
      <c r="G149">
        <v>0.05</v>
      </c>
      <c r="H149">
        <v>0.17</v>
      </c>
      <c r="I149" t="s">
        <v>12</v>
      </c>
      <c r="J149" t="s">
        <v>139</v>
      </c>
      <c r="K149">
        <f t="shared" si="2"/>
        <v>180.55</v>
      </c>
    </row>
    <row r="150" spans="1:11">
      <c r="A150">
        <v>149</v>
      </c>
      <c r="B150" s="1">
        <v>45331</v>
      </c>
      <c r="C150" t="s">
        <v>23</v>
      </c>
      <c r="D150" t="s">
        <v>15</v>
      </c>
      <c r="E150">
        <v>1279.96</v>
      </c>
      <c r="F150">
        <v>1</v>
      </c>
      <c r="G150">
        <v>0.02</v>
      </c>
      <c r="H150">
        <v>0.26</v>
      </c>
      <c r="I150" t="s">
        <v>24</v>
      </c>
      <c r="J150" t="s">
        <v>140</v>
      </c>
      <c r="K150">
        <f t="shared" si="2"/>
        <v>1279.96</v>
      </c>
    </row>
    <row r="151" spans="1:11">
      <c r="A151">
        <v>150</v>
      </c>
      <c r="B151" s="1">
        <v>45626</v>
      </c>
      <c r="C151" t="s">
        <v>20</v>
      </c>
      <c r="D151" t="s">
        <v>15</v>
      </c>
      <c r="E151">
        <v>1053.02</v>
      </c>
      <c r="F151">
        <v>2</v>
      </c>
      <c r="G151">
        <v>0.17</v>
      </c>
      <c r="H151">
        <v>0.38</v>
      </c>
      <c r="I151" t="s">
        <v>16</v>
      </c>
      <c r="J151" t="s">
        <v>141</v>
      </c>
      <c r="K151">
        <f t="shared" si="2"/>
        <v>2106.04</v>
      </c>
    </row>
    <row r="152" spans="1:11">
      <c r="A152">
        <v>151</v>
      </c>
      <c r="B152" s="1">
        <v>45353</v>
      </c>
      <c r="C152" t="s">
        <v>14</v>
      </c>
      <c r="D152" t="s">
        <v>15</v>
      </c>
      <c r="E152">
        <v>1230.18</v>
      </c>
      <c r="F152">
        <v>1</v>
      </c>
      <c r="G152">
        <v>0.15</v>
      </c>
      <c r="H152">
        <v>0.32</v>
      </c>
      <c r="I152" t="s">
        <v>24</v>
      </c>
      <c r="J152" t="s">
        <v>142</v>
      </c>
      <c r="K152">
        <f t="shared" si="2"/>
        <v>1230.18</v>
      </c>
    </row>
    <row r="153" spans="1:11">
      <c r="A153">
        <v>152</v>
      </c>
      <c r="B153" s="1">
        <v>45591</v>
      </c>
      <c r="C153" t="s">
        <v>14</v>
      </c>
      <c r="D153" t="s">
        <v>15</v>
      </c>
      <c r="E153">
        <v>1395.83</v>
      </c>
      <c r="F153">
        <v>3</v>
      </c>
      <c r="G153">
        <v>0.17</v>
      </c>
      <c r="H153">
        <v>0.18</v>
      </c>
      <c r="I153" t="s">
        <v>21</v>
      </c>
      <c r="J153" t="s">
        <v>143</v>
      </c>
      <c r="K153">
        <f t="shared" si="2"/>
        <v>4187.49</v>
      </c>
    </row>
    <row r="154" spans="1:11">
      <c r="A154">
        <v>153</v>
      </c>
      <c r="B154" s="1">
        <v>45516</v>
      </c>
      <c r="C154" t="s">
        <v>26</v>
      </c>
      <c r="D154" t="s">
        <v>11</v>
      </c>
      <c r="E154">
        <v>327.49</v>
      </c>
      <c r="F154">
        <v>2</v>
      </c>
      <c r="G154">
        <v>0.1</v>
      </c>
      <c r="H154">
        <v>0.23</v>
      </c>
      <c r="I154" t="s">
        <v>16</v>
      </c>
      <c r="J154" t="s">
        <v>144</v>
      </c>
      <c r="K154">
        <f t="shared" si="2"/>
        <v>654.98</v>
      </c>
    </row>
    <row r="155" spans="1:11">
      <c r="A155">
        <v>154</v>
      </c>
      <c r="B155" s="1">
        <v>45611</v>
      </c>
      <c r="C155" t="s">
        <v>10</v>
      </c>
      <c r="D155" t="s">
        <v>11</v>
      </c>
      <c r="E155">
        <v>1110.96</v>
      </c>
      <c r="F155">
        <v>4</v>
      </c>
      <c r="G155">
        <v>0.03</v>
      </c>
      <c r="H155">
        <v>0.28000000000000003</v>
      </c>
      <c r="I155" t="s">
        <v>21</v>
      </c>
      <c r="J155" t="s">
        <v>145</v>
      </c>
      <c r="K155">
        <f t="shared" si="2"/>
        <v>4443.84</v>
      </c>
    </row>
    <row r="156" spans="1:11">
      <c r="A156">
        <v>155</v>
      </c>
      <c r="B156" s="1">
        <v>45550</v>
      </c>
      <c r="C156" t="s">
        <v>31</v>
      </c>
      <c r="D156" t="s">
        <v>11</v>
      </c>
      <c r="E156">
        <v>153.75</v>
      </c>
      <c r="F156">
        <v>3</v>
      </c>
      <c r="G156">
        <v>0.28000000000000003</v>
      </c>
      <c r="H156">
        <v>0.2</v>
      </c>
      <c r="I156" t="s">
        <v>16</v>
      </c>
      <c r="J156" t="s">
        <v>125</v>
      </c>
      <c r="K156">
        <f t="shared" si="2"/>
        <v>461.25</v>
      </c>
    </row>
    <row r="157" spans="1:11">
      <c r="A157">
        <v>156</v>
      </c>
      <c r="B157" s="1">
        <v>45429</v>
      </c>
      <c r="C157" t="s">
        <v>20</v>
      </c>
      <c r="D157" t="s">
        <v>15</v>
      </c>
      <c r="E157">
        <v>101.44</v>
      </c>
      <c r="F157">
        <v>2</v>
      </c>
      <c r="G157">
        <v>0.14000000000000001</v>
      </c>
      <c r="H157">
        <v>0.26</v>
      </c>
      <c r="I157" t="s">
        <v>24</v>
      </c>
      <c r="J157" t="s">
        <v>128</v>
      </c>
      <c r="K157">
        <f t="shared" si="2"/>
        <v>202.88</v>
      </c>
    </row>
    <row r="158" spans="1:11">
      <c r="A158">
        <v>157</v>
      </c>
      <c r="B158" s="1">
        <v>45610</v>
      </c>
      <c r="C158" t="s">
        <v>23</v>
      </c>
      <c r="D158" t="s">
        <v>15</v>
      </c>
      <c r="E158">
        <v>1485.19</v>
      </c>
      <c r="F158">
        <v>5</v>
      </c>
      <c r="G158">
        <v>0.21</v>
      </c>
      <c r="H158">
        <v>0.13</v>
      </c>
      <c r="I158" t="s">
        <v>24</v>
      </c>
      <c r="J158" t="s">
        <v>131</v>
      </c>
      <c r="K158">
        <f t="shared" si="2"/>
        <v>7425.9500000000007</v>
      </c>
    </row>
    <row r="159" spans="1:11">
      <c r="A159">
        <v>158</v>
      </c>
      <c r="B159" s="1">
        <v>45329</v>
      </c>
      <c r="C159" t="s">
        <v>10</v>
      </c>
      <c r="D159" t="s">
        <v>11</v>
      </c>
      <c r="E159">
        <v>1030.22</v>
      </c>
      <c r="F159">
        <v>1</v>
      </c>
      <c r="G159">
        <v>0.04</v>
      </c>
      <c r="H159">
        <v>0.24</v>
      </c>
      <c r="I159" t="s">
        <v>21</v>
      </c>
      <c r="J159" t="s">
        <v>146</v>
      </c>
      <c r="K159">
        <f t="shared" si="2"/>
        <v>1030.22</v>
      </c>
    </row>
    <row r="160" spans="1:11">
      <c r="A160">
        <v>159</v>
      </c>
      <c r="B160" s="1">
        <v>45625</v>
      </c>
      <c r="C160" t="s">
        <v>14</v>
      </c>
      <c r="D160" t="s">
        <v>15</v>
      </c>
      <c r="E160">
        <v>632.47</v>
      </c>
      <c r="F160">
        <v>1</v>
      </c>
      <c r="G160">
        <v>0.26</v>
      </c>
      <c r="H160">
        <v>0.32</v>
      </c>
      <c r="I160" t="s">
        <v>21</v>
      </c>
      <c r="J160" t="s">
        <v>93</v>
      </c>
      <c r="K160">
        <f t="shared" si="2"/>
        <v>632.47</v>
      </c>
    </row>
    <row r="161" spans="1:11">
      <c r="A161">
        <v>160</v>
      </c>
      <c r="B161" s="1">
        <v>45326</v>
      </c>
      <c r="C161" t="s">
        <v>20</v>
      </c>
      <c r="D161" t="s">
        <v>15</v>
      </c>
      <c r="E161">
        <v>1401.08</v>
      </c>
      <c r="F161">
        <v>3</v>
      </c>
      <c r="G161">
        <v>0.28000000000000003</v>
      </c>
      <c r="H161">
        <v>0.15</v>
      </c>
      <c r="I161" t="s">
        <v>16</v>
      </c>
      <c r="J161" t="s">
        <v>147</v>
      </c>
      <c r="K161">
        <f t="shared" si="2"/>
        <v>4203.24</v>
      </c>
    </row>
    <row r="162" spans="1:11">
      <c r="A162">
        <v>161</v>
      </c>
      <c r="B162" s="1">
        <v>45652</v>
      </c>
      <c r="C162" t="s">
        <v>20</v>
      </c>
      <c r="D162" t="s">
        <v>15</v>
      </c>
      <c r="E162">
        <v>1391.51</v>
      </c>
      <c r="F162">
        <v>4</v>
      </c>
      <c r="G162">
        <v>0.25</v>
      </c>
      <c r="H162">
        <v>0.14000000000000001</v>
      </c>
      <c r="I162" t="s">
        <v>21</v>
      </c>
      <c r="J162" t="s">
        <v>148</v>
      </c>
      <c r="K162">
        <f t="shared" si="2"/>
        <v>5566.04</v>
      </c>
    </row>
    <row r="163" spans="1:11">
      <c r="A163">
        <v>162</v>
      </c>
      <c r="B163" s="1">
        <v>45296</v>
      </c>
      <c r="C163" t="s">
        <v>10</v>
      </c>
      <c r="D163" t="s">
        <v>11</v>
      </c>
      <c r="E163">
        <v>1131.99</v>
      </c>
      <c r="F163">
        <v>4</v>
      </c>
      <c r="G163">
        <v>0.05</v>
      </c>
      <c r="H163">
        <v>0.15</v>
      </c>
      <c r="I163" t="s">
        <v>12</v>
      </c>
      <c r="J163" t="s">
        <v>149</v>
      </c>
      <c r="K163">
        <f t="shared" si="2"/>
        <v>4527.96</v>
      </c>
    </row>
    <row r="164" spans="1:11">
      <c r="A164">
        <v>163</v>
      </c>
      <c r="B164" s="1">
        <v>45333</v>
      </c>
      <c r="C164" t="s">
        <v>23</v>
      </c>
      <c r="D164" t="s">
        <v>15</v>
      </c>
      <c r="E164">
        <v>372.65</v>
      </c>
      <c r="F164">
        <v>2</v>
      </c>
      <c r="G164">
        <v>0.27</v>
      </c>
      <c r="H164">
        <v>0.19</v>
      </c>
      <c r="I164" t="s">
        <v>12</v>
      </c>
      <c r="J164" t="s">
        <v>150</v>
      </c>
      <c r="K164">
        <f t="shared" si="2"/>
        <v>745.3</v>
      </c>
    </row>
    <row r="165" spans="1:11">
      <c r="A165">
        <v>164</v>
      </c>
      <c r="B165" s="1">
        <v>45354</v>
      </c>
      <c r="C165" t="s">
        <v>26</v>
      </c>
      <c r="D165" t="s">
        <v>11</v>
      </c>
      <c r="E165">
        <v>603.86</v>
      </c>
      <c r="F165">
        <v>3</v>
      </c>
      <c r="G165">
        <v>0.19</v>
      </c>
      <c r="H165">
        <v>0.26</v>
      </c>
      <c r="I165" t="s">
        <v>12</v>
      </c>
      <c r="J165" t="s">
        <v>151</v>
      </c>
      <c r="K165">
        <f t="shared" si="2"/>
        <v>1811.58</v>
      </c>
    </row>
    <row r="166" spans="1:11">
      <c r="A166">
        <v>165</v>
      </c>
      <c r="B166" s="1">
        <v>45600</v>
      </c>
      <c r="C166" t="s">
        <v>26</v>
      </c>
      <c r="D166" t="s">
        <v>11</v>
      </c>
      <c r="E166">
        <v>766.51</v>
      </c>
      <c r="F166">
        <v>1</v>
      </c>
      <c r="G166">
        <v>0.11</v>
      </c>
      <c r="H166">
        <v>0.22</v>
      </c>
      <c r="I166" t="s">
        <v>24</v>
      </c>
      <c r="J166" t="s">
        <v>152</v>
      </c>
      <c r="K166">
        <f t="shared" si="2"/>
        <v>766.51</v>
      </c>
    </row>
    <row r="167" spans="1:11">
      <c r="A167">
        <v>166</v>
      </c>
      <c r="B167" s="1">
        <v>45358</v>
      </c>
      <c r="C167" t="s">
        <v>14</v>
      </c>
      <c r="D167" t="s">
        <v>15</v>
      </c>
      <c r="E167">
        <v>1362.05</v>
      </c>
      <c r="F167">
        <v>3</v>
      </c>
      <c r="G167">
        <v>0.16</v>
      </c>
      <c r="H167">
        <v>0.23</v>
      </c>
      <c r="I167" t="s">
        <v>24</v>
      </c>
      <c r="J167" t="s">
        <v>49</v>
      </c>
      <c r="K167">
        <f t="shared" si="2"/>
        <v>4086.1499999999996</v>
      </c>
    </row>
    <row r="168" spans="1:11">
      <c r="A168">
        <v>167</v>
      </c>
      <c r="B168" s="1">
        <v>45448</v>
      </c>
      <c r="C168" t="s">
        <v>10</v>
      </c>
      <c r="D168" t="s">
        <v>11</v>
      </c>
      <c r="E168">
        <v>950.87</v>
      </c>
      <c r="F168">
        <v>2</v>
      </c>
      <c r="G168">
        <v>0.04</v>
      </c>
      <c r="H168">
        <v>0.34</v>
      </c>
      <c r="I168" t="s">
        <v>24</v>
      </c>
      <c r="J168" t="s">
        <v>153</v>
      </c>
      <c r="K168">
        <f t="shared" si="2"/>
        <v>1901.74</v>
      </c>
    </row>
    <row r="169" spans="1:11">
      <c r="A169">
        <v>168</v>
      </c>
      <c r="B169" s="1">
        <v>45388</v>
      </c>
      <c r="C169" t="s">
        <v>10</v>
      </c>
      <c r="D169" t="s">
        <v>11</v>
      </c>
      <c r="E169">
        <v>755.75</v>
      </c>
      <c r="F169">
        <v>3</v>
      </c>
      <c r="G169">
        <v>0.24</v>
      </c>
      <c r="H169">
        <v>0.15</v>
      </c>
      <c r="I169" t="s">
        <v>16</v>
      </c>
      <c r="J169" t="s">
        <v>154</v>
      </c>
      <c r="K169">
        <f t="shared" si="2"/>
        <v>2267.25</v>
      </c>
    </row>
    <row r="170" spans="1:11">
      <c r="A170">
        <v>169</v>
      </c>
      <c r="B170" s="1">
        <v>45377</v>
      </c>
      <c r="C170" t="s">
        <v>14</v>
      </c>
      <c r="D170" t="s">
        <v>15</v>
      </c>
      <c r="E170">
        <v>1067.8</v>
      </c>
      <c r="F170">
        <v>3</v>
      </c>
      <c r="G170">
        <v>0.22</v>
      </c>
      <c r="H170">
        <v>0.11</v>
      </c>
      <c r="I170" t="s">
        <v>21</v>
      </c>
      <c r="J170" t="s">
        <v>51</v>
      </c>
      <c r="K170">
        <f t="shared" si="2"/>
        <v>3203.3999999999996</v>
      </c>
    </row>
    <row r="171" spans="1:11">
      <c r="A171">
        <v>170</v>
      </c>
      <c r="B171" s="1">
        <v>45585</v>
      </c>
      <c r="C171" t="s">
        <v>20</v>
      </c>
      <c r="D171" t="s">
        <v>15</v>
      </c>
      <c r="E171">
        <v>1078.24</v>
      </c>
      <c r="F171">
        <v>5</v>
      </c>
      <c r="G171">
        <v>0.26</v>
      </c>
      <c r="H171">
        <v>0.2</v>
      </c>
      <c r="I171" t="s">
        <v>16</v>
      </c>
      <c r="J171" t="s">
        <v>143</v>
      </c>
      <c r="K171">
        <f t="shared" si="2"/>
        <v>5391.2</v>
      </c>
    </row>
    <row r="172" spans="1:11">
      <c r="A172">
        <v>171</v>
      </c>
      <c r="B172" s="1">
        <v>45306</v>
      </c>
      <c r="C172" t="s">
        <v>20</v>
      </c>
      <c r="D172" t="s">
        <v>15</v>
      </c>
      <c r="E172">
        <v>816.31</v>
      </c>
      <c r="F172">
        <v>4</v>
      </c>
      <c r="G172">
        <v>0.14000000000000001</v>
      </c>
      <c r="H172">
        <v>0.28000000000000003</v>
      </c>
      <c r="I172" t="s">
        <v>16</v>
      </c>
      <c r="J172" t="s">
        <v>155</v>
      </c>
      <c r="K172">
        <f t="shared" si="2"/>
        <v>3265.24</v>
      </c>
    </row>
    <row r="173" spans="1:11">
      <c r="A173">
        <v>172</v>
      </c>
      <c r="B173" s="1">
        <v>45464</v>
      </c>
      <c r="C173" t="s">
        <v>14</v>
      </c>
      <c r="D173" t="s">
        <v>15</v>
      </c>
      <c r="E173">
        <v>1201.01</v>
      </c>
      <c r="F173">
        <v>5</v>
      </c>
      <c r="G173">
        <v>0.15</v>
      </c>
      <c r="H173">
        <v>0.22</v>
      </c>
      <c r="I173" t="s">
        <v>24</v>
      </c>
      <c r="J173" t="s">
        <v>156</v>
      </c>
      <c r="K173">
        <f t="shared" si="2"/>
        <v>6005.05</v>
      </c>
    </row>
    <row r="174" spans="1:11">
      <c r="A174">
        <v>173</v>
      </c>
      <c r="B174" s="1">
        <v>45590</v>
      </c>
      <c r="C174" t="s">
        <v>10</v>
      </c>
      <c r="D174" t="s">
        <v>11</v>
      </c>
      <c r="E174">
        <v>1087.05</v>
      </c>
      <c r="F174">
        <v>3</v>
      </c>
      <c r="G174">
        <v>0.21</v>
      </c>
      <c r="H174">
        <v>0.26</v>
      </c>
      <c r="I174" t="s">
        <v>12</v>
      </c>
      <c r="J174" t="s">
        <v>157</v>
      </c>
      <c r="K174">
        <f t="shared" si="2"/>
        <v>3261.1499999999996</v>
      </c>
    </row>
    <row r="175" spans="1:11">
      <c r="A175">
        <v>174</v>
      </c>
      <c r="B175" s="1">
        <v>45329</v>
      </c>
      <c r="C175" t="s">
        <v>10</v>
      </c>
      <c r="D175" t="s">
        <v>11</v>
      </c>
      <c r="E175">
        <v>908.57</v>
      </c>
      <c r="F175">
        <v>4</v>
      </c>
      <c r="G175">
        <v>0.05</v>
      </c>
      <c r="H175">
        <v>0.37</v>
      </c>
      <c r="I175" t="s">
        <v>24</v>
      </c>
      <c r="J175" t="s">
        <v>46</v>
      </c>
      <c r="K175">
        <f t="shared" si="2"/>
        <v>3634.28</v>
      </c>
    </row>
    <row r="176" spans="1:11">
      <c r="A176">
        <v>175</v>
      </c>
      <c r="B176" s="1">
        <v>45432</v>
      </c>
      <c r="C176" t="s">
        <v>23</v>
      </c>
      <c r="D176" t="s">
        <v>15</v>
      </c>
      <c r="E176">
        <v>360.34</v>
      </c>
      <c r="F176">
        <v>2</v>
      </c>
      <c r="G176">
        <v>0.28000000000000003</v>
      </c>
      <c r="H176">
        <v>0.15</v>
      </c>
      <c r="I176" t="s">
        <v>24</v>
      </c>
      <c r="J176" t="s">
        <v>158</v>
      </c>
      <c r="K176">
        <f t="shared" si="2"/>
        <v>720.68</v>
      </c>
    </row>
    <row r="177" spans="1:11">
      <c r="A177">
        <v>176</v>
      </c>
      <c r="B177" s="1">
        <v>45607</v>
      </c>
      <c r="C177" t="s">
        <v>31</v>
      </c>
      <c r="D177" t="s">
        <v>11</v>
      </c>
      <c r="E177">
        <v>230.2</v>
      </c>
      <c r="F177">
        <v>2</v>
      </c>
      <c r="G177">
        <v>0.18</v>
      </c>
      <c r="H177">
        <v>0.11</v>
      </c>
      <c r="I177" t="s">
        <v>12</v>
      </c>
      <c r="J177" t="s">
        <v>159</v>
      </c>
      <c r="K177">
        <f t="shared" si="2"/>
        <v>460.4</v>
      </c>
    </row>
    <row r="178" spans="1:11">
      <c r="A178">
        <v>177</v>
      </c>
      <c r="B178" s="1">
        <v>45584</v>
      </c>
      <c r="C178" t="s">
        <v>14</v>
      </c>
      <c r="D178" t="s">
        <v>15</v>
      </c>
      <c r="E178">
        <v>899.62</v>
      </c>
      <c r="F178">
        <v>4</v>
      </c>
      <c r="G178">
        <v>0.17</v>
      </c>
      <c r="H178">
        <v>0.31</v>
      </c>
      <c r="I178" t="s">
        <v>16</v>
      </c>
      <c r="J178" t="s">
        <v>160</v>
      </c>
      <c r="K178">
        <f t="shared" si="2"/>
        <v>3598.48</v>
      </c>
    </row>
    <row r="179" spans="1:11">
      <c r="A179">
        <v>178</v>
      </c>
      <c r="B179" s="1">
        <v>45342</v>
      </c>
      <c r="C179" t="s">
        <v>31</v>
      </c>
      <c r="D179" t="s">
        <v>11</v>
      </c>
      <c r="E179">
        <v>1068.18</v>
      </c>
      <c r="F179">
        <v>2</v>
      </c>
      <c r="G179">
        <v>0.23</v>
      </c>
      <c r="H179">
        <v>0.21</v>
      </c>
      <c r="I179" t="s">
        <v>12</v>
      </c>
      <c r="J179" t="s">
        <v>148</v>
      </c>
      <c r="K179">
        <f t="shared" si="2"/>
        <v>2136.36</v>
      </c>
    </row>
    <row r="180" spans="1:11">
      <c r="A180">
        <v>179</v>
      </c>
      <c r="B180" s="1">
        <v>45593</v>
      </c>
      <c r="C180" t="s">
        <v>14</v>
      </c>
      <c r="D180" t="s">
        <v>15</v>
      </c>
      <c r="E180">
        <v>1111.26</v>
      </c>
      <c r="F180">
        <v>1</v>
      </c>
      <c r="G180">
        <v>0.28000000000000003</v>
      </c>
      <c r="H180">
        <v>0.24</v>
      </c>
      <c r="I180" t="s">
        <v>24</v>
      </c>
      <c r="J180" t="s">
        <v>62</v>
      </c>
      <c r="K180">
        <f t="shared" si="2"/>
        <v>1111.26</v>
      </c>
    </row>
    <row r="181" spans="1:11">
      <c r="A181">
        <v>180</v>
      </c>
      <c r="B181" s="1">
        <v>45604</v>
      </c>
      <c r="C181" t="s">
        <v>31</v>
      </c>
      <c r="D181" t="s">
        <v>11</v>
      </c>
      <c r="E181">
        <v>372.96</v>
      </c>
      <c r="F181">
        <v>2</v>
      </c>
      <c r="G181">
        <v>0.25</v>
      </c>
      <c r="H181">
        <v>0.14000000000000001</v>
      </c>
      <c r="I181" t="s">
        <v>12</v>
      </c>
      <c r="J181" t="s">
        <v>161</v>
      </c>
      <c r="K181">
        <f t="shared" si="2"/>
        <v>745.92</v>
      </c>
    </row>
    <row r="182" spans="1:11">
      <c r="A182">
        <v>181</v>
      </c>
      <c r="B182" s="1">
        <v>45600</v>
      </c>
      <c r="C182" t="s">
        <v>26</v>
      </c>
      <c r="D182" t="s">
        <v>11</v>
      </c>
      <c r="E182">
        <v>514.91999999999996</v>
      </c>
      <c r="F182">
        <v>3</v>
      </c>
      <c r="G182">
        <v>0.18</v>
      </c>
      <c r="H182">
        <v>0.22</v>
      </c>
      <c r="I182" t="s">
        <v>24</v>
      </c>
      <c r="J182" t="s">
        <v>162</v>
      </c>
      <c r="K182">
        <f t="shared" si="2"/>
        <v>1544.7599999999998</v>
      </c>
    </row>
    <row r="183" spans="1:11">
      <c r="A183">
        <v>182</v>
      </c>
      <c r="B183" s="1">
        <v>45582</v>
      </c>
      <c r="C183" t="s">
        <v>31</v>
      </c>
      <c r="D183" t="s">
        <v>11</v>
      </c>
      <c r="E183">
        <v>519.41999999999996</v>
      </c>
      <c r="F183">
        <v>4</v>
      </c>
      <c r="G183">
        <v>0.24</v>
      </c>
      <c r="H183">
        <v>0.28000000000000003</v>
      </c>
      <c r="I183" t="s">
        <v>24</v>
      </c>
      <c r="J183" t="s">
        <v>163</v>
      </c>
      <c r="K183">
        <f t="shared" si="2"/>
        <v>2077.6799999999998</v>
      </c>
    </row>
    <row r="184" spans="1:11">
      <c r="A184">
        <v>183</v>
      </c>
      <c r="B184" s="1">
        <v>45501</v>
      </c>
      <c r="C184" t="s">
        <v>10</v>
      </c>
      <c r="D184" t="s">
        <v>11</v>
      </c>
      <c r="E184">
        <v>612.29999999999995</v>
      </c>
      <c r="F184">
        <v>1</v>
      </c>
      <c r="G184">
        <v>0.26</v>
      </c>
      <c r="H184">
        <v>0.38</v>
      </c>
      <c r="I184" t="s">
        <v>12</v>
      </c>
      <c r="J184" t="s">
        <v>107</v>
      </c>
      <c r="K184">
        <f t="shared" si="2"/>
        <v>612.29999999999995</v>
      </c>
    </row>
    <row r="185" spans="1:11">
      <c r="A185">
        <v>184</v>
      </c>
      <c r="B185" s="1">
        <v>45655</v>
      </c>
      <c r="C185" t="s">
        <v>26</v>
      </c>
      <c r="D185" t="s">
        <v>11</v>
      </c>
      <c r="E185">
        <v>734.23</v>
      </c>
      <c r="F185">
        <v>3</v>
      </c>
      <c r="G185">
        <v>0.14000000000000001</v>
      </c>
      <c r="H185">
        <v>0.17</v>
      </c>
      <c r="I185" t="s">
        <v>21</v>
      </c>
      <c r="J185" t="s">
        <v>70</v>
      </c>
      <c r="K185">
        <f t="shared" si="2"/>
        <v>2202.69</v>
      </c>
    </row>
    <row r="186" spans="1:11">
      <c r="A186">
        <v>185</v>
      </c>
      <c r="B186" s="1">
        <v>45635</v>
      </c>
      <c r="C186" t="s">
        <v>23</v>
      </c>
      <c r="D186" t="s">
        <v>15</v>
      </c>
      <c r="E186">
        <v>1371.31</v>
      </c>
      <c r="F186">
        <v>1</v>
      </c>
      <c r="G186">
        <v>0.15</v>
      </c>
      <c r="H186">
        <v>0.23</v>
      </c>
      <c r="I186" t="s">
        <v>24</v>
      </c>
      <c r="J186" t="s">
        <v>164</v>
      </c>
      <c r="K186">
        <f t="shared" si="2"/>
        <v>1371.31</v>
      </c>
    </row>
    <row r="187" spans="1:11">
      <c r="A187">
        <v>186</v>
      </c>
      <c r="B187" s="1">
        <v>45447</v>
      </c>
      <c r="C187" t="s">
        <v>14</v>
      </c>
      <c r="D187" t="s">
        <v>15</v>
      </c>
      <c r="E187">
        <v>484.42</v>
      </c>
      <c r="F187">
        <v>5</v>
      </c>
      <c r="G187">
        <v>0.17</v>
      </c>
      <c r="H187">
        <v>0.28999999999999998</v>
      </c>
      <c r="I187" t="s">
        <v>24</v>
      </c>
      <c r="J187" t="s">
        <v>165</v>
      </c>
      <c r="K187">
        <f t="shared" si="2"/>
        <v>2422.1</v>
      </c>
    </row>
    <row r="188" spans="1:11">
      <c r="A188">
        <v>187</v>
      </c>
      <c r="B188" s="1">
        <v>45468</v>
      </c>
      <c r="C188" t="s">
        <v>26</v>
      </c>
      <c r="D188" t="s">
        <v>11</v>
      </c>
      <c r="E188">
        <v>338.7</v>
      </c>
      <c r="F188">
        <v>1</v>
      </c>
      <c r="G188">
        <v>0.05</v>
      </c>
      <c r="H188">
        <v>0.39</v>
      </c>
      <c r="I188" t="s">
        <v>16</v>
      </c>
      <c r="J188" t="s">
        <v>166</v>
      </c>
      <c r="K188">
        <f t="shared" si="2"/>
        <v>338.7</v>
      </c>
    </row>
    <row r="189" spans="1:11">
      <c r="A189">
        <v>188</v>
      </c>
      <c r="B189" s="1">
        <v>45618</v>
      </c>
      <c r="C189" t="s">
        <v>20</v>
      </c>
      <c r="D189" t="s">
        <v>15</v>
      </c>
      <c r="E189">
        <v>847.03</v>
      </c>
      <c r="F189">
        <v>4</v>
      </c>
      <c r="G189">
        <v>0.16</v>
      </c>
      <c r="H189">
        <v>0.16</v>
      </c>
      <c r="I189" t="s">
        <v>16</v>
      </c>
      <c r="J189" t="s">
        <v>67</v>
      </c>
      <c r="K189">
        <f t="shared" si="2"/>
        <v>3388.12</v>
      </c>
    </row>
    <row r="190" spans="1:11">
      <c r="A190">
        <v>189</v>
      </c>
      <c r="B190" s="1">
        <v>45502</v>
      </c>
      <c r="C190" t="s">
        <v>31</v>
      </c>
      <c r="D190" t="s">
        <v>11</v>
      </c>
      <c r="E190">
        <v>903.19</v>
      </c>
      <c r="F190">
        <v>5</v>
      </c>
      <c r="G190">
        <v>0.12</v>
      </c>
      <c r="H190">
        <v>0.23</v>
      </c>
      <c r="I190" t="s">
        <v>21</v>
      </c>
      <c r="J190" t="s">
        <v>167</v>
      </c>
      <c r="K190">
        <f t="shared" si="2"/>
        <v>4515.9500000000007</v>
      </c>
    </row>
    <row r="191" spans="1:11">
      <c r="A191">
        <v>190</v>
      </c>
      <c r="B191" s="1">
        <v>45435</v>
      </c>
      <c r="C191" t="s">
        <v>23</v>
      </c>
      <c r="D191" t="s">
        <v>15</v>
      </c>
      <c r="E191">
        <v>540.35</v>
      </c>
      <c r="F191">
        <v>5</v>
      </c>
      <c r="G191">
        <v>0.19</v>
      </c>
      <c r="H191">
        <v>0.21</v>
      </c>
      <c r="I191" t="s">
        <v>21</v>
      </c>
      <c r="J191" t="s">
        <v>138</v>
      </c>
      <c r="K191">
        <f t="shared" si="2"/>
        <v>2701.75</v>
      </c>
    </row>
    <row r="192" spans="1:11">
      <c r="A192">
        <v>191</v>
      </c>
      <c r="B192" s="1">
        <v>45485</v>
      </c>
      <c r="C192" t="s">
        <v>10</v>
      </c>
      <c r="D192" t="s">
        <v>11</v>
      </c>
      <c r="E192">
        <v>858.14</v>
      </c>
      <c r="F192">
        <v>2</v>
      </c>
      <c r="G192">
        <v>0.09</v>
      </c>
      <c r="H192">
        <v>0.31</v>
      </c>
      <c r="I192" t="s">
        <v>21</v>
      </c>
      <c r="J192" t="s">
        <v>81</v>
      </c>
      <c r="K192">
        <f t="shared" si="2"/>
        <v>1716.28</v>
      </c>
    </row>
    <row r="193" spans="1:11">
      <c r="A193">
        <v>192</v>
      </c>
      <c r="B193" s="1">
        <v>45610</v>
      </c>
      <c r="C193" t="s">
        <v>14</v>
      </c>
      <c r="D193" t="s">
        <v>15</v>
      </c>
      <c r="E193">
        <v>813.32</v>
      </c>
      <c r="F193">
        <v>1</v>
      </c>
      <c r="G193">
        <v>0.12</v>
      </c>
      <c r="H193">
        <v>0.27</v>
      </c>
      <c r="I193" t="s">
        <v>24</v>
      </c>
      <c r="J193" t="s">
        <v>72</v>
      </c>
      <c r="K193">
        <f t="shared" si="2"/>
        <v>813.32</v>
      </c>
    </row>
    <row r="194" spans="1:11">
      <c r="A194">
        <v>193</v>
      </c>
      <c r="B194" s="1">
        <v>45557</v>
      </c>
      <c r="C194" t="s">
        <v>26</v>
      </c>
      <c r="D194" t="s">
        <v>11</v>
      </c>
      <c r="E194">
        <v>176.9</v>
      </c>
      <c r="F194">
        <v>5</v>
      </c>
      <c r="G194">
        <v>0.02</v>
      </c>
      <c r="H194">
        <v>0.33</v>
      </c>
      <c r="I194" t="s">
        <v>12</v>
      </c>
      <c r="J194" t="s">
        <v>168</v>
      </c>
      <c r="K194">
        <f t="shared" si="2"/>
        <v>884.5</v>
      </c>
    </row>
    <row r="195" spans="1:11">
      <c r="A195">
        <v>194</v>
      </c>
      <c r="B195" s="1">
        <v>45579</v>
      </c>
      <c r="C195" t="s">
        <v>20</v>
      </c>
      <c r="D195" t="s">
        <v>15</v>
      </c>
      <c r="E195">
        <v>424.35</v>
      </c>
      <c r="F195">
        <v>2</v>
      </c>
      <c r="G195">
        <v>0.12</v>
      </c>
      <c r="H195">
        <v>0.11</v>
      </c>
      <c r="I195" t="s">
        <v>12</v>
      </c>
      <c r="J195" t="s">
        <v>107</v>
      </c>
      <c r="K195">
        <f t="shared" si="2"/>
        <v>848.7</v>
      </c>
    </row>
    <row r="196" spans="1:11">
      <c r="A196">
        <v>195</v>
      </c>
      <c r="B196" s="1">
        <v>45614</v>
      </c>
      <c r="C196" t="s">
        <v>23</v>
      </c>
      <c r="D196" t="s">
        <v>15</v>
      </c>
      <c r="E196">
        <v>1081.06</v>
      </c>
      <c r="F196">
        <v>5</v>
      </c>
      <c r="G196">
        <v>0.12</v>
      </c>
      <c r="H196">
        <v>0.27</v>
      </c>
      <c r="I196" t="s">
        <v>12</v>
      </c>
      <c r="J196" t="s">
        <v>169</v>
      </c>
      <c r="K196">
        <f t="shared" ref="K196:K259" si="3">E196*F196</f>
        <v>5405.2999999999993</v>
      </c>
    </row>
    <row r="197" spans="1:11">
      <c r="A197">
        <v>196</v>
      </c>
      <c r="B197" s="1">
        <v>45540</v>
      </c>
      <c r="C197" t="s">
        <v>23</v>
      </c>
      <c r="D197" t="s">
        <v>15</v>
      </c>
      <c r="E197">
        <v>365.84</v>
      </c>
      <c r="F197">
        <v>3</v>
      </c>
      <c r="G197">
        <v>0.15</v>
      </c>
      <c r="H197">
        <v>0.28000000000000003</v>
      </c>
      <c r="I197" t="s">
        <v>16</v>
      </c>
      <c r="J197" t="s">
        <v>170</v>
      </c>
      <c r="K197">
        <f t="shared" si="3"/>
        <v>1097.52</v>
      </c>
    </row>
    <row r="198" spans="1:11">
      <c r="A198">
        <v>197</v>
      </c>
      <c r="B198" s="1">
        <v>45555</v>
      </c>
      <c r="C198" t="s">
        <v>10</v>
      </c>
      <c r="D198" t="s">
        <v>11</v>
      </c>
      <c r="E198">
        <v>1204.8800000000001</v>
      </c>
      <c r="F198">
        <v>3</v>
      </c>
      <c r="G198">
        <v>0.27</v>
      </c>
      <c r="H198">
        <v>0.27</v>
      </c>
      <c r="I198" t="s">
        <v>24</v>
      </c>
      <c r="J198" t="s">
        <v>62</v>
      </c>
      <c r="K198">
        <f t="shared" si="3"/>
        <v>3614.6400000000003</v>
      </c>
    </row>
    <row r="199" spans="1:11">
      <c r="A199">
        <v>198</v>
      </c>
      <c r="B199" s="1">
        <v>45473</v>
      </c>
      <c r="C199" t="s">
        <v>31</v>
      </c>
      <c r="D199" t="s">
        <v>11</v>
      </c>
      <c r="E199">
        <v>171.68</v>
      </c>
      <c r="F199">
        <v>3</v>
      </c>
      <c r="G199">
        <v>0.28999999999999998</v>
      </c>
      <c r="H199">
        <v>0.38</v>
      </c>
      <c r="I199" t="s">
        <v>16</v>
      </c>
      <c r="J199" t="s">
        <v>171</v>
      </c>
      <c r="K199">
        <f t="shared" si="3"/>
        <v>515.04</v>
      </c>
    </row>
    <row r="200" spans="1:11">
      <c r="A200">
        <v>199</v>
      </c>
      <c r="B200" s="1">
        <v>45442</v>
      </c>
      <c r="C200" t="s">
        <v>23</v>
      </c>
      <c r="D200" t="s">
        <v>15</v>
      </c>
      <c r="E200">
        <v>327.35000000000002</v>
      </c>
      <c r="F200">
        <v>2</v>
      </c>
      <c r="G200">
        <v>0</v>
      </c>
      <c r="H200">
        <v>0.13</v>
      </c>
      <c r="I200" t="s">
        <v>21</v>
      </c>
      <c r="J200" t="s">
        <v>89</v>
      </c>
      <c r="K200">
        <f t="shared" si="3"/>
        <v>654.70000000000005</v>
      </c>
    </row>
    <row r="201" spans="1:11">
      <c r="A201">
        <v>200</v>
      </c>
      <c r="B201" s="1">
        <v>45373</v>
      </c>
      <c r="C201" t="s">
        <v>14</v>
      </c>
      <c r="D201" t="s">
        <v>15</v>
      </c>
      <c r="E201">
        <v>1275.99</v>
      </c>
      <c r="F201">
        <v>5</v>
      </c>
      <c r="G201">
        <v>0.26</v>
      </c>
      <c r="H201">
        <v>0.28999999999999998</v>
      </c>
      <c r="I201" t="s">
        <v>21</v>
      </c>
      <c r="J201" t="s">
        <v>127</v>
      </c>
      <c r="K201">
        <f t="shared" si="3"/>
        <v>6379.95</v>
      </c>
    </row>
    <row r="202" spans="1:11">
      <c r="A202">
        <v>201</v>
      </c>
      <c r="B202" s="1">
        <v>45486</v>
      </c>
      <c r="C202" t="s">
        <v>10</v>
      </c>
      <c r="D202" t="s">
        <v>11</v>
      </c>
      <c r="E202">
        <v>1341.69</v>
      </c>
      <c r="F202">
        <v>5</v>
      </c>
      <c r="G202">
        <v>0.1</v>
      </c>
      <c r="H202">
        <v>0.18</v>
      </c>
      <c r="I202" t="s">
        <v>24</v>
      </c>
      <c r="J202" t="s">
        <v>114</v>
      </c>
      <c r="K202">
        <f t="shared" si="3"/>
        <v>6708.4500000000007</v>
      </c>
    </row>
    <row r="203" spans="1:11">
      <c r="A203">
        <v>202</v>
      </c>
      <c r="B203" s="1">
        <v>45547</v>
      </c>
      <c r="C203" t="s">
        <v>14</v>
      </c>
      <c r="D203" t="s">
        <v>15</v>
      </c>
      <c r="E203">
        <v>895.69</v>
      </c>
      <c r="F203">
        <v>4</v>
      </c>
      <c r="G203">
        <v>0.25</v>
      </c>
      <c r="H203">
        <v>0.2</v>
      </c>
      <c r="I203" t="s">
        <v>21</v>
      </c>
      <c r="J203" t="s">
        <v>129</v>
      </c>
      <c r="K203">
        <f t="shared" si="3"/>
        <v>3582.76</v>
      </c>
    </row>
    <row r="204" spans="1:11">
      <c r="A204">
        <v>203</v>
      </c>
      <c r="B204" s="1">
        <v>45633</v>
      </c>
      <c r="C204" t="s">
        <v>23</v>
      </c>
      <c r="D204" t="s">
        <v>15</v>
      </c>
      <c r="E204">
        <v>839.27</v>
      </c>
      <c r="F204">
        <v>2</v>
      </c>
      <c r="G204">
        <v>0.26</v>
      </c>
      <c r="H204">
        <v>0.17</v>
      </c>
      <c r="I204" t="s">
        <v>16</v>
      </c>
      <c r="J204" t="s">
        <v>35</v>
      </c>
      <c r="K204">
        <f t="shared" si="3"/>
        <v>1678.54</v>
      </c>
    </row>
    <row r="205" spans="1:11">
      <c r="A205">
        <v>204</v>
      </c>
      <c r="B205" s="1">
        <v>45506</v>
      </c>
      <c r="C205" t="s">
        <v>26</v>
      </c>
      <c r="D205" t="s">
        <v>11</v>
      </c>
      <c r="E205">
        <v>1175.1400000000001</v>
      </c>
      <c r="F205">
        <v>1</v>
      </c>
      <c r="G205">
        <v>0.26</v>
      </c>
      <c r="H205">
        <v>0.25</v>
      </c>
      <c r="I205" t="s">
        <v>16</v>
      </c>
      <c r="J205" t="s">
        <v>172</v>
      </c>
      <c r="K205">
        <f t="shared" si="3"/>
        <v>1175.1400000000001</v>
      </c>
    </row>
    <row r="206" spans="1:11">
      <c r="A206">
        <v>205</v>
      </c>
      <c r="B206" s="1">
        <v>45300</v>
      </c>
      <c r="C206" t="s">
        <v>31</v>
      </c>
      <c r="D206" t="s">
        <v>11</v>
      </c>
      <c r="E206">
        <v>1204.79</v>
      </c>
      <c r="F206">
        <v>1</v>
      </c>
      <c r="G206">
        <v>0.15</v>
      </c>
      <c r="H206">
        <v>0.25</v>
      </c>
      <c r="I206" t="s">
        <v>16</v>
      </c>
      <c r="J206" t="s">
        <v>173</v>
      </c>
      <c r="K206">
        <f t="shared" si="3"/>
        <v>1204.79</v>
      </c>
    </row>
    <row r="207" spans="1:11">
      <c r="A207">
        <v>206</v>
      </c>
      <c r="B207" s="1">
        <v>45569</v>
      </c>
      <c r="C207" t="s">
        <v>10</v>
      </c>
      <c r="D207" t="s">
        <v>11</v>
      </c>
      <c r="E207">
        <v>823.91</v>
      </c>
      <c r="F207">
        <v>5</v>
      </c>
      <c r="G207">
        <v>0.12</v>
      </c>
      <c r="H207">
        <v>0.17</v>
      </c>
      <c r="I207" t="s">
        <v>24</v>
      </c>
      <c r="J207" t="s">
        <v>25</v>
      </c>
      <c r="K207">
        <f t="shared" si="3"/>
        <v>4119.55</v>
      </c>
    </row>
    <row r="208" spans="1:11">
      <c r="A208">
        <v>207</v>
      </c>
      <c r="B208" s="1">
        <v>45389</v>
      </c>
      <c r="C208" t="s">
        <v>26</v>
      </c>
      <c r="D208" t="s">
        <v>11</v>
      </c>
      <c r="E208">
        <v>1256.52</v>
      </c>
      <c r="F208">
        <v>4</v>
      </c>
      <c r="G208">
        <v>0.04</v>
      </c>
      <c r="H208">
        <v>0.37</v>
      </c>
      <c r="I208" t="s">
        <v>24</v>
      </c>
      <c r="J208" t="s">
        <v>174</v>
      </c>
      <c r="K208">
        <f t="shared" si="3"/>
        <v>5026.08</v>
      </c>
    </row>
    <row r="209" spans="1:11">
      <c r="A209">
        <v>208</v>
      </c>
      <c r="B209" s="1">
        <v>45333</v>
      </c>
      <c r="C209" t="s">
        <v>20</v>
      </c>
      <c r="D209" t="s">
        <v>15</v>
      </c>
      <c r="E209">
        <v>426.65</v>
      </c>
      <c r="F209">
        <v>3</v>
      </c>
      <c r="G209">
        <v>0.25</v>
      </c>
      <c r="H209">
        <v>0.26</v>
      </c>
      <c r="I209" t="s">
        <v>16</v>
      </c>
      <c r="J209" t="s">
        <v>144</v>
      </c>
      <c r="K209">
        <f t="shared" si="3"/>
        <v>1279.9499999999998</v>
      </c>
    </row>
    <row r="210" spans="1:11">
      <c r="A210">
        <v>209</v>
      </c>
      <c r="B210" s="1">
        <v>45367</v>
      </c>
      <c r="C210" t="s">
        <v>31</v>
      </c>
      <c r="D210" t="s">
        <v>11</v>
      </c>
      <c r="E210">
        <v>875.36</v>
      </c>
      <c r="F210">
        <v>2</v>
      </c>
      <c r="G210">
        <v>0.17</v>
      </c>
      <c r="H210">
        <v>0.3</v>
      </c>
      <c r="I210" t="s">
        <v>21</v>
      </c>
      <c r="J210" t="s">
        <v>131</v>
      </c>
      <c r="K210">
        <f t="shared" si="3"/>
        <v>1750.72</v>
      </c>
    </row>
    <row r="211" spans="1:11">
      <c r="A211">
        <v>210</v>
      </c>
      <c r="B211" s="1">
        <v>45578</v>
      </c>
      <c r="C211" t="s">
        <v>20</v>
      </c>
      <c r="D211" t="s">
        <v>15</v>
      </c>
      <c r="E211">
        <v>329.47</v>
      </c>
      <c r="F211">
        <v>2</v>
      </c>
      <c r="G211">
        <v>0.04</v>
      </c>
      <c r="H211">
        <v>0.18</v>
      </c>
      <c r="I211" t="s">
        <v>16</v>
      </c>
      <c r="J211" t="s">
        <v>175</v>
      </c>
      <c r="K211">
        <f t="shared" si="3"/>
        <v>658.94</v>
      </c>
    </row>
    <row r="212" spans="1:11">
      <c r="A212">
        <v>211</v>
      </c>
      <c r="B212" s="1">
        <v>45464</v>
      </c>
      <c r="C212" t="s">
        <v>31</v>
      </c>
      <c r="D212" t="s">
        <v>11</v>
      </c>
      <c r="E212">
        <v>1313.99</v>
      </c>
      <c r="F212">
        <v>2</v>
      </c>
      <c r="G212">
        <v>0.18</v>
      </c>
      <c r="H212">
        <v>0.3</v>
      </c>
      <c r="I212" t="s">
        <v>24</v>
      </c>
      <c r="J212" t="s">
        <v>56</v>
      </c>
      <c r="K212">
        <f t="shared" si="3"/>
        <v>2627.98</v>
      </c>
    </row>
    <row r="213" spans="1:11">
      <c r="A213">
        <v>212</v>
      </c>
      <c r="B213" s="1">
        <v>45355</v>
      </c>
      <c r="C213" t="s">
        <v>26</v>
      </c>
      <c r="D213" t="s">
        <v>11</v>
      </c>
      <c r="E213">
        <v>1261.21</v>
      </c>
      <c r="F213">
        <v>5</v>
      </c>
      <c r="G213">
        <v>0.11</v>
      </c>
      <c r="H213">
        <v>0.26</v>
      </c>
      <c r="I213" t="s">
        <v>16</v>
      </c>
      <c r="J213" t="s">
        <v>176</v>
      </c>
      <c r="K213">
        <f t="shared" si="3"/>
        <v>6306.05</v>
      </c>
    </row>
    <row r="214" spans="1:11">
      <c r="A214">
        <v>213</v>
      </c>
      <c r="B214" s="1">
        <v>45573</v>
      </c>
      <c r="C214" t="s">
        <v>31</v>
      </c>
      <c r="D214" t="s">
        <v>11</v>
      </c>
      <c r="E214">
        <v>546.96</v>
      </c>
      <c r="F214">
        <v>3</v>
      </c>
      <c r="G214">
        <v>0.06</v>
      </c>
      <c r="H214">
        <v>0.13</v>
      </c>
      <c r="I214" t="s">
        <v>16</v>
      </c>
      <c r="J214" t="s">
        <v>47</v>
      </c>
      <c r="K214">
        <f t="shared" si="3"/>
        <v>1640.88</v>
      </c>
    </row>
    <row r="215" spans="1:11">
      <c r="A215">
        <v>214</v>
      </c>
      <c r="B215" s="1">
        <v>45404</v>
      </c>
      <c r="C215" t="s">
        <v>31</v>
      </c>
      <c r="D215" t="s">
        <v>11</v>
      </c>
      <c r="E215">
        <v>125.67</v>
      </c>
      <c r="F215">
        <v>3</v>
      </c>
      <c r="G215">
        <v>0.09</v>
      </c>
      <c r="H215">
        <v>0.21</v>
      </c>
      <c r="I215" t="s">
        <v>24</v>
      </c>
      <c r="J215" t="s">
        <v>17</v>
      </c>
      <c r="K215">
        <f t="shared" si="3"/>
        <v>377.01</v>
      </c>
    </row>
    <row r="216" spans="1:11">
      <c r="A216">
        <v>215</v>
      </c>
      <c r="B216" s="1">
        <v>45443</v>
      </c>
      <c r="C216" t="s">
        <v>23</v>
      </c>
      <c r="D216" t="s">
        <v>15</v>
      </c>
      <c r="E216">
        <v>1089.26</v>
      </c>
      <c r="F216">
        <v>3</v>
      </c>
      <c r="G216">
        <v>0.28000000000000003</v>
      </c>
      <c r="H216">
        <v>0.22</v>
      </c>
      <c r="I216" t="s">
        <v>16</v>
      </c>
      <c r="J216" t="s">
        <v>177</v>
      </c>
      <c r="K216">
        <f t="shared" si="3"/>
        <v>3267.7799999999997</v>
      </c>
    </row>
    <row r="217" spans="1:11">
      <c r="A217">
        <v>216</v>
      </c>
      <c r="B217" s="1">
        <v>45530</v>
      </c>
      <c r="C217" t="s">
        <v>31</v>
      </c>
      <c r="D217" t="s">
        <v>11</v>
      </c>
      <c r="E217">
        <v>1406.82</v>
      </c>
      <c r="F217">
        <v>5</v>
      </c>
      <c r="G217">
        <v>0.15</v>
      </c>
      <c r="H217">
        <v>0.18</v>
      </c>
      <c r="I217" t="s">
        <v>24</v>
      </c>
      <c r="J217" t="s">
        <v>178</v>
      </c>
      <c r="K217">
        <f t="shared" si="3"/>
        <v>7034.0999999999995</v>
      </c>
    </row>
    <row r="218" spans="1:11">
      <c r="A218">
        <v>217</v>
      </c>
      <c r="B218" s="1">
        <v>45656</v>
      </c>
      <c r="C218" t="s">
        <v>10</v>
      </c>
      <c r="D218" t="s">
        <v>11</v>
      </c>
      <c r="E218">
        <v>411.84</v>
      </c>
      <c r="F218">
        <v>3</v>
      </c>
      <c r="G218">
        <v>0.25</v>
      </c>
      <c r="H218">
        <v>0.35</v>
      </c>
      <c r="I218" t="s">
        <v>24</v>
      </c>
      <c r="J218" t="s">
        <v>42</v>
      </c>
      <c r="K218">
        <f t="shared" si="3"/>
        <v>1235.52</v>
      </c>
    </row>
    <row r="219" spans="1:11">
      <c r="A219">
        <v>218</v>
      </c>
      <c r="B219" s="1">
        <v>45492</v>
      </c>
      <c r="C219" t="s">
        <v>26</v>
      </c>
      <c r="D219" t="s">
        <v>11</v>
      </c>
      <c r="E219">
        <v>253.14</v>
      </c>
      <c r="F219">
        <v>1</v>
      </c>
      <c r="G219">
        <v>0.23</v>
      </c>
      <c r="H219">
        <v>0.13</v>
      </c>
      <c r="I219" t="s">
        <v>21</v>
      </c>
      <c r="J219" t="s">
        <v>179</v>
      </c>
      <c r="K219">
        <f t="shared" si="3"/>
        <v>253.14</v>
      </c>
    </row>
    <row r="220" spans="1:11">
      <c r="A220">
        <v>219</v>
      </c>
      <c r="B220" s="1">
        <v>45333</v>
      </c>
      <c r="C220" t="s">
        <v>26</v>
      </c>
      <c r="D220" t="s">
        <v>11</v>
      </c>
      <c r="E220">
        <v>543.52</v>
      </c>
      <c r="F220">
        <v>1</v>
      </c>
      <c r="G220">
        <v>0.15</v>
      </c>
      <c r="H220">
        <v>0.31</v>
      </c>
      <c r="I220" t="s">
        <v>24</v>
      </c>
      <c r="J220" t="s">
        <v>180</v>
      </c>
      <c r="K220">
        <f t="shared" si="3"/>
        <v>543.52</v>
      </c>
    </row>
    <row r="221" spans="1:11">
      <c r="A221">
        <v>220</v>
      </c>
      <c r="B221" s="1">
        <v>45463</v>
      </c>
      <c r="C221" t="s">
        <v>14</v>
      </c>
      <c r="D221" t="s">
        <v>15</v>
      </c>
      <c r="E221">
        <v>703.03</v>
      </c>
      <c r="F221">
        <v>3</v>
      </c>
      <c r="G221">
        <v>0.25</v>
      </c>
      <c r="H221">
        <v>0.34</v>
      </c>
      <c r="I221" t="s">
        <v>16</v>
      </c>
      <c r="J221" t="s">
        <v>55</v>
      </c>
      <c r="K221">
        <f t="shared" si="3"/>
        <v>2109.09</v>
      </c>
    </row>
    <row r="222" spans="1:11">
      <c r="A222">
        <v>221</v>
      </c>
      <c r="B222" s="1">
        <v>45596</v>
      </c>
      <c r="C222" t="s">
        <v>10</v>
      </c>
      <c r="D222" t="s">
        <v>11</v>
      </c>
      <c r="E222">
        <v>1452.36</v>
      </c>
      <c r="F222">
        <v>2</v>
      </c>
      <c r="G222">
        <v>0.03</v>
      </c>
      <c r="H222">
        <v>0.19</v>
      </c>
      <c r="I222" t="s">
        <v>16</v>
      </c>
      <c r="J222" t="s">
        <v>181</v>
      </c>
      <c r="K222">
        <f t="shared" si="3"/>
        <v>2904.72</v>
      </c>
    </row>
    <row r="223" spans="1:11">
      <c r="A223">
        <v>222</v>
      </c>
      <c r="B223" s="1">
        <v>45303</v>
      </c>
      <c r="C223" t="s">
        <v>26</v>
      </c>
      <c r="D223" t="s">
        <v>11</v>
      </c>
      <c r="E223">
        <v>226.81</v>
      </c>
      <c r="F223">
        <v>2</v>
      </c>
      <c r="G223">
        <v>0.21</v>
      </c>
      <c r="H223">
        <v>0.26</v>
      </c>
      <c r="I223" t="s">
        <v>21</v>
      </c>
      <c r="J223" t="s">
        <v>182</v>
      </c>
      <c r="K223">
        <f t="shared" si="3"/>
        <v>453.62</v>
      </c>
    </row>
    <row r="224" spans="1:11">
      <c r="A224">
        <v>223</v>
      </c>
      <c r="B224" s="1">
        <v>45506</v>
      </c>
      <c r="C224" t="s">
        <v>26</v>
      </c>
      <c r="D224" t="s">
        <v>11</v>
      </c>
      <c r="E224">
        <v>824.3</v>
      </c>
      <c r="F224">
        <v>3</v>
      </c>
      <c r="G224">
        <v>0.22</v>
      </c>
      <c r="H224">
        <v>0.34</v>
      </c>
      <c r="I224" t="s">
        <v>24</v>
      </c>
      <c r="J224" t="s">
        <v>183</v>
      </c>
      <c r="K224">
        <f t="shared" si="3"/>
        <v>2472.8999999999996</v>
      </c>
    </row>
    <row r="225" spans="1:11">
      <c r="A225">
        <v>224</v>
      </c>
      <c r="B225" s="1">
        <v>45350</v>
      </c>
      <c r="C225" t="s">
        <v>31</v>
      </c>
      <c r="D225" t="s">
        <v>11</v>
      </c>
      <c r="E225">
        <v>1093.05</v>
      </c>
      <c r="F225">
        <v>1</v>
      </c>
      <c r="G225">
        <v>0.27</v>
      </c>
      <c r="H225">
        <v>0.28999999999999998</v>
      </c>
      <c r="I225" t="s">
        <v>21</v>
      </c>
      <c r="J225" t="s">
        <v>184</v>
      </c>
      <c r="K225">
        <f t="shared" si="3"/>
        <v>1093.05</v>
      </c>
    </row>
    <row r="226" spans="1:11">
      <c r="A226">
        <v>225</v>
      </c>
      <c r="B226" s="1">
        <v>45307</v>
      </c>
      <c r="C226" t="s">
        <v>10</v>
      </c>
      <c r="D226" t="s">
        <v>11</v>
      </c>
      <c r="E226">
        <v>1481.81</v>
      </c>
      <c r="F226">
        <v>5</v>
      </c>
      <c r="G226">
        <v>0.2</v>
      </c>
      <c r="H226">
        <v>0.11</v>
      </c>
      <c r="I226" t="s">
        <v>21</v>
      </c>
      <c r="J226" t="s">
        <v>41</v>
      </c>
      <c r="K226">
        <f t="shared" si="3"/>
        <v>7409.0499999999993</v>
      </c>
    </row>
    <row r="227" spans="1:11">
      <c r="A227">
        <v>226</v>
      </c>
      <c r="B227" s="1">
        <v>45561</v>
      </c>
      <c r="C227" t="s">
        <v>23</v>
      </c>
      <c r="D227" t="s">
        <v>15</v>
      </c>
      <c r="E227">
        <v>1389.74</v>
      </c>
      <c r="F227">
        <v>2</v>
      </c>
      <c r="G227">
        <v>0.17</v>
      </c>
      <c r="H227">
        <v>0.37</v>
      </c>
      <c r="I227" t="s">
        <v>12</v>
      </c>
      <c r="J227" t="s">
        <v>185</v>
      </c>
      <c r="K227">
        <f t="shared" si="3"/>
        <v>2779.48</v>
      </c>
    </row>
    <row r="228" spans="1:11">
      <c r="A228">
        <v>227</v>
      </c>
      <c r="B228" s="1">
        <v>45606</v>
      </c>
      <c r="C228" t="s">
        <v>14</v>
      </c>
      <c r="D228" t="s">
        <v>15</v>
      </c>
      <c r="E228">
        <v>202.77</v>
      </c>
      <c r="F228">
        <v>1</v>
      </c>
      <c r="G228">
        <v>0.06</v>
      </c>
      <c r="H228">
        <v>0.13</v>
      </c>
      <c r="I228" t="s">
        <v>21</v>
      </c>
      <c r="J228" t="s">
        <v>186</v>
      </c>
      <c r="K228">
        <f t="shared" si="3"/>
        <v>202.77</v>
      </c>
    </row>
    <row r="229" spans="1:11">
      <c r="A229">
        <v>228</v>
      </c>
      <c r="B229" s="1">
        <v>45394</v>
      </c>
      <c r="C229" t="s">
        <v>31</v>
      </c>
      <c r="D229" t="s">
        <v>11</v>
      </c>
      <c r="E229">
        <v>1417.79</v>
      </c>
      <c r="F229">
        <v>2</v>
      </c>
      <c r="G229">
        <v>0.22</v>
      </c>
      <c r="H229">
        <v>0.12</v>
      </c>
      <c r="I229" t="s">
        <v>12</v>
      </c>
      <c r="J229" t="s">
        <v>151</v>
      </c>
      <c r="K229">
        <f t="shared" si="3"/>
        <v>2835.58</v>
      </c>
    </row>
    <row r="230" spans="1:11">
      <c r="A230">
        <v>229</v>
      </c>
      <c r="B230" s="1">
        <v>45422</v>
      </c>
      <c r="C230" t="s">
        <v>10</v>
      </c>
      <c r="D230" t="s">
        <v>11</v>
      </c>
      <c r="E230">
        <v>79.59</v>
      </c>
      <c r="F230">
        <v>3</v>
      </c>
      <c r="G230">
        <v>0.17</v>
      </c>
      <c r="H230">
        <v>0.24</v>
      </c>
      <c r="I230" t="s">
        <v>24</v>
      </c>
      <c r="J230" t="s">
        <v>108</v>
      </c>
      <c r="K230">
        <f t="shared" si="3"/>
        <v>238.77</v>
      </c>
    </row>
    <row r="231" spans="1:11">
      <c r="A231">
        <v>230</v>
      </c>
      <c r="B231" s="1">
        <v>45306</v>
      </c>
      <c r="C231" t="s">
        <v>31</v>
      </c>
      <c r="D231" t="s">
        <v>11</v>
      </c>
      <c r="E231">
        <v>1052.03</v>
      </c>
      <c r="F231">
        <v>2</v>
      </c>
      <c r="G231">
        <v>0.22</v>
      </c>
      <c r="H231">
        <v>0.12</v>
      </c>
      <c r="I231" t="s">
        <v>16</v>
      </c>
      <c r="J231" t="s">
        <v>89</v>
      </c>
      <c r="K231">
        <f t="shared" si="3"/>
        <v>2104.06</v>
      </c>
    </row>
    <row r="232" spans="1:11">
      <c r="A232">
        <v>231</v>
      </c>
      <c r="B232" s="1">
        <v>45501</v>
      </c>
      <c r="C232" t="s">
        <v>14</v>
      </c>
      <c r="D232" t="s">
        <v>15</v>
      </c>
      <c r="E232">
        <v>1210.8699999999999</v>
      </c>
      <c r="F232">
        <v>4</v>
      </c>
      <c r="G232">
        <v>0.24</v>
      </c>
      <c r="H232">
        <v>0.2</v>
      </c>
      <c r="I232" t="s">
        <v>16</v>
      </c>
      <c r="J232" t="s">
        <v>181</v>
      </c>
      <c r="K232">
        <f t="shared" si="3"/>
        <v>4843.4799999999996</v>
      </c>
    </row>
    <row r="233" spans="1:11">
      <c r="A233">
        <v>232</v>
      </c>
      <c r="B233" s="1">
        <v>45602</v>
      </c>
      <c r="C233" t="s">
        <v>23</v>
      </c>
      <c r="D233" t="s">
        <v>15</v>
      </c>
      <c r="E233">
        <v>792.25</v>
      </c>
      <c r="F233">
        <v>5</v>
      </c>
      <c r="G233">
        <v>0.18</v>
      </c>
      <c r="H233">
        <v>0.17</v>
      </c>
      <c r="I233" t="s">
        <v>12</v>
      </c>
      <c r="J233" t="s">
        <v>187</v>
      </c>
      <c r="K233">
        <f t="shared" si="3"/>
        <v>3961.25</v>
      </c>
    </row>
    <row r="234" spans="1:11">
      <c r="A234">
        <v>233</v>
      </c>
      <c r="B234" s="1">
        <v>45432</v>
      </c>
      <c r="C234" t="s">
        <v>31</v>
      </c>
      <c r="D234" t="s">
        <v>11</v>
      </c>
      <c r="E234">
        <v>706.37</v>
      </c>
      <c r="F234">
        <v>2</v>
      </c>
      <c r="G234">
        <v>0.01</v>
      </c>
      <c r="H234">
        <v>0.36</v>
      </c>
      <c r="I234" t="s">
        <v>24</v>
      </c>
      <c r="J234" t="s">
        <v>37</v>
      </c>
      <c r="K234">
        <f t="shared" si="3"/>
        <v>1412.74</v>
      </c>
    </row>
    <row r="235" spans="1:11">
      <c r="A235">
        <v>234</v>
      </c>
      <c r="B235" s="1">
        <v>45320</v>
      </c>
      <c r="C235" t="s">
        <v>26</v>
      </c>
      <c r="D235" t="s">
        <v>11</v>
      </c>
      <c r="E235">
        <v>591.35</v>
      </c>
      <c r="F235">
        <v>3</v>
      </c>
      <c r="G235">
        <v>0.02</v>
      </c>
      <c r="H235">
        <v>0.1</v>
      </c>
      <c r="I235" t="s">
        <v>24</v>
      </c>
      <c r="J235" t="s">
        <v>122</v>
      </c>
      <c r="K235">
        <f t="shared" si="3"/>
        <v>1774.0500000000002</v>
      </c>
    </row>
    <row r="236" spans="1:11">
      <c r="A236">
        <v>235</v>
      </c>
      <c r="B236" s="1">
        <v>45563</v>
      </c>
      <c r="C236" t="s">
        <v>26</v>
      </c>
      <c r="D236" t="s">
        <v>11</v>
      </c>
      <c r="E236">
        <v>1156.5999999999999</v>
      </c>
      <c r="F236">
        <v>5</v>
      </c>
      <c r="G236">
        <v>0.01</v>
      </c>
      <c r="H236">
        <v>0.24</v>
      </c>
      <c r="I236" t="s">
        <v>12</v>
      </c>
      <c r="J236" t="s">
        <v>118</v>
      </c>
      <c r="K236">
        <f t="shared" si="3"/>
        <v>5783</v>
      </c>
    </row>
    <row r="237" spans="1:11">
      <c r="A237">
        <v>236</v>
      </c>
      <c r="B237" s="1">
        <v>45650</v>
      </c>
      <c r="C237" t="s">
        <v>31</v>
      </c>
      <c r="D237" t="s">
        <v>11</v>
      </c>
      <c r="E237">
        <v>1313.67</v>
      </c>
      <c r="F237">
        <v>1</v>
      </c>
      <c r="G237">
        <v>0.23</v>
      </c>
      <c r="H237">
        <v>0.23</v>
      </c>
      <c r="I237" t="s">
        <v>24</v>
      </c>
      <c r="J237" t="s">
        <v>188</v>
      </c>
      <c r="K237">
        <f t="shared" si="3"/>
        <v>1313.67</v>
      </c>
    </row>
    <row r="238" spans="1:11">
      <c r="A238">
        <v>237</v>
      </c>
      <c r="B238" s="1">
        <v>45433</v>
      </c>
      <c r="C238" t="s">
        <v>20</v>
      </c>
      <c r="D238" t="s">
        <v>15</v>
      </c>
      <c r="E238">
        <v>795.72</v>
      </c>
      <c r="F238">
        <v>1</v>
      </c>
      <c r="G238">
        <v>7.0000000000000007E-2</v>
      </c>
      <c r="H238">
        <v>0.13</v>
      </c>
      <c r="I238" t="s">
        <v>21</v>
      </c>
      <c r="J238" t="s">
        <v>141</v>
      </c>
      <c r="K238">
        <f t="shared" si="3"/>
        <v>795.72</v>
      </c>
    </row>
    <row r="239" spans="1:11">
      <c r="A239">
        <v>238</v>
      </c>
      <c r="B239" s="1">
        <v>45444</v>
      </c>
      <c r="C239" t="s">
        <v>14</v>
      </c>
      <c r="D239" t="s">
        <v>15</v>
      </c>
      <c r="E239">
        <v>463.08</v>
      </c>
      <c r="F239">
        <v>2</v>
      </c>
      <c r="G239">
        <v>0.09</v>
      </c>
      <c r="H239">
        <v>0.17</v>
      </c>
      <c r="I239" t="s">
        <v>24</v>
      </c>
      <c r="J239" t="s">
        <v>80</v>
      </c>
      <c r="K239">
        <f t="shared" si="3"/>
        <v>926.16</v>
      </c>
    </row>
    <row r="240" spans="1:11">
      <c r="A240">
        <v>239</v>
      </c>
      <c r="B240" s="1">
        <v>45596</v>
      </c>
      <c r="C240" t="s">
        <v>14</v>
      </c>
      <c r="D240" t="s">
        <v>15</v>
      </c>
      <c r="E240">
        <v>433.97</v>
      </c>
      <c r="F240">
        <v>5</v>
      </c>
      <c r="G240">
        <v>0.3</v>
      </c>
      <c r="H240">
        <v>0.23</v>
      </c>
      <c r="I240" t="s">
        <v>12</v>
      </c>
      <c r="J240" t="s">
        <v>36</v>
      </c>
      <c r="K240">
        <f t="shared" si="3"/>
        <v>2169.8500000000004</v>
      </c>
    </row>
    <row r="241" spans="1:11">
      <c r="A241">
        <v>240</v>
      </c>
      <c r="B241" s="1">
        <v>45352</v>
      </c>
      <c r="C241" t="s">
        <v>20</v>
      </c>
      <c r="D241" t="s">
        <v>15</v>
      </c>
      <c r="E241">
        <v>602.65</v>
      </c>
      <c r="F241">
        <v>4</v>
      </c>
      <c r="G241">
        <v>7.0000000000000007E-2</v>
      </c>
      <c r="H241">
        <v>0.38</v>
      </c>
      <c r="I241" t="s">
        <v>16</v>
      </c>
      <c r="J241" t="s">
        <v>70</v>
      </c>
      <c r="K241">
        <f t="shared" si="3"/>
        <v>2410.6</v>
      </c>
    </row>
    <row r="242" spans="1:11">
      <c r="A242">
        <v>241</v>
      </c>
      <c r="B242" s="1">
        <v>45593</v>
      </c>
      <c r="C242" t="s">
        <v>31</v>
      </c>
      <c r="D242" t="s">
        <v>11</v>
      </c>
      <c r="E242">
        <v>407</v>
      </c>
      <c r="F242">
        <v>4</v>
      </c>
      <c r="G242">
        <v>0.13</v>
      </c>
      <c r="H242">
        <v>0.36</v>
      </c>
      <c r="I242" t="s">
        <v>24</v>
      </c>
      <c r="J242" t="s">
        <v>150</v>
      </c>
      <c r="K242">
        <f t="shared" si="3"/>
        <v>1628</v>
      </c>
    </row>
    <row r="243" spans="1:11">
      <c r="A243">
        <v>242</v>
      </c>
      <c r="B243" s="1">
        <v>45551</v>
      </c>
      <c r="C243" t="s">
        <v>23</v>
      </c>
      <c r="D243" t="s">
        <v>15</v>
      </c>
      <c r="E243">
        <v>911.18</v>
      </c>
      <c r="F243">
        <v>5</v>
      </c>
      <c r="G243">
        <v>0.3</v>
      </c>
      <c r="H243">
        <v>0.32</v>
      </c>
      <c r="I243" t="s">
        <v>12</v>
      </c>
      <c r="J243" t="s">
        <v>82</v>
      </c>
      <c r="K243">
        <f t="shared" si="3"/>
        <v>4555.8999999999996</v>
      </c>
    </row>
    <row r="244" spans="1:11">
      <c r="A244">
        <v>243</v>
      </c>
      <c r="B244" s="1">
        <v>45534</v>
      </c>
      <c r="C244" t="s">
        <v>31</v>
      </c>
      <c r="D244" t="s">
        <v>11</v>
      </c>
      <c r="E244">
        <v>366.72</v>
      </c>
      <c r="F244">
        <v>4</v>
      </c>
      <c r="G244">
        <v>0.25</v>
      </c>
      <c r="H244">
        <v>0.17</v>
      </c>
      <c r="I244" t="s">
        <v>24</v>
      </c>
      <c r="J244" t="s">
        <v>116</v>
      </c>
      <c r="K244">
        <f t="shared" si="3"/>
        <v>1466.88</v>
      </c>
    </row>
    <row r="245" spans="1:11">
      <c r="A245">
        <v>244</v>
      </c>
      <c r="B245" s="1">
        <v>45532</v>
      </c>
      <c r="C245" t="s">
        <v>23</v>
      </c>
      <c r="D245" t="s">
        <v>15</v>
      </c>
      <c r="E245">
        <v>781.22</v>
      </c>
      <c r="F245">
        <v>2</v>
      </c>
      <c r="G245">
        <v>0.01</v>
      </c>
      <c r="H245">
        <v>0.22</v>
      </c>
      <c r="I245" t="s">
        <v>21</v>
      </c>
      <c r="J245" t="s">
        <v>59</v>
      </c>
      <c r="K245">
        <f t="shared" si="3"/>
        <v>1562.44</v>
      </c>
    </row>
    <row r="246" spans="1:11">
      <c r="A246">
        <v>245</v>
      </c>
      <c r="B246" s="1">
        <v>45468</v>
      </c>
      <c r="C246" t="s">
        <v>14</v>
      </c>
      <c r="D246" t="s">
        <v>15</v>
      </c>
      <c r="E246">
        <v>1436.97</v>
      </c>
      <c r="F246">
        <v>5</v>
      </c>
      <c r="G246">
        <v>0.02</v>
      </c>
      <c r="H246">
        <v>0.39</v>
      </c>
      <c r="I246" t="s">
        <v>16</v>
      </c>
      <c r="J246" t="s">
        <v>189</v>
      </c>
      <c r="K246">
        <f t="shared" si="3"/>
        <v>7184.85</v>
      </c>
    </row>
    <row r="247" spans="1:11">
      <c r="A247">
        <v>246</v>
      </c>
      <c r="B247" s="1">
        <v>45469</v>
      </c>
      <c r="C247" t="s">
        <v>10</v>
      </c>
      <c r="D247" t="s">
        <v>11</v>
      </c>
      <c r="E247">
        <v>789.43</v>
      </c>
      <c r="F247">
        <v>4</v>
      </c>
      <c r="G247">
        <v>0.3</v>
      </c>
      <c r="H247">
        <v>0.15</v>
      </c>
      <c r="I247" t="s">
        <v>16</v>
      </c>
      <c r="J247" t="s">
        <v>190</v>
      </c>
      <c r="K247">
        <f t="shared" si="3"/>
        <v>3157.72</v>
      </c>
    </row>
    <row r="248" spans="1:11">
      <c r="A248">
        <v>247</v>
      </c>
      <c r="B248" s="1">
        <v>45560</v>
      </c>
      <c r="C248" t="s">
        <v>10</v>
      </c>
      <c r="D248" t="s">
        <v>11</v>
      </c>
      <c r="E248">
        <v>749.5</v>
      </c>
      <c r="F248">
        <v>1</v>
      </c>
      <c r="G248">
        <v>0.05</v>
      </c>
      <c r="H248">
        <v>0.34</v>
      </c>
      <c r="I248" t="s">
        <v>16</v>
      </c>
      <c r="J248" t="s">
        <v>191</v>
      </c>
      <c r="K248">
        <f t="shared" si="3"/>
        <v>749.5</v>
      </c>
    </row>
    <row r="249" spans="1:11">
      <c r="A249">
        <v>248</v>
      </c>
      <c r="B249" s="1">
        <v>45389</v>
      </c>
      <c r="C249" t="s">
        <v>14</v>
      </c>
      <c r="D249" t="s">
        <v>15</v>
      </c>
      <c r="E249">
        <v>355.13</v>
      </c>
      <c r="F249">
        <v>1</v>
      </c>
      <c r="G249">
        <v>0.18</v>
      </c>
      <c r="H249">
        <v>0.27</v>
      </c>
      <c r="I249" t="s">
        <v>24</v>
      </c>
      <c r="J249" t="s">
        <v>192</v>
      </c>
      <c r="K249">
        <f t="shared" si="3"/>
        <v>355.13</v>
      </c>
    </row>
    <row r="250" spans="1:11">
      <c r="A250">
        <v>249</v>
      </c>
      <c r="B250" s="1">
        <v>45486</v>
      </c>
      <c r="C250" t="s">
        <v>26</v>
      </c>
      <c r="D250" t="s">
        <v>11</v>
      </c>
      <c r="E250">
        <v>699.71</v>
      </c>
      <c r="F250">
        <v>3</v>
      </c>
      <c r="G250">
        <v>0.08</v>
      </c>
      <c r="H250">
        <v>0.24</v>
      </c>
      <c r="I250" t="s">
        <v>16</v>
      </c>
      <c r="J250" t="s">
        <v>193</v>
      </c>
      <c r="K250">
        <f t="shared" si="3"/>
        <v>2099.13</v>
      </c>
    </row>
    <row r="251" spans="1:11">
      <c r="A251">
        <v>250</v>
      </c>
      <c r="B251" s="1">
        <v>45316</v>
      </c>
      <c r="C251" t="s">
        <v>14</v>
      </c>
      <c r="D251" t="s">
        <v>15</v>
      </c>
      <c r="E251">
        <v>1434.59</v>
      </c>
      <c r="F251">
        <v>4</v>
      </c>
      <c r="G251">
        <v>0.01</v>
      </c>
      <c r="H251">
        <v>0.2</v>
      </c>
      <c r="I251" t="s">
        <v>12</v>
      </c>
      <c r="J251" t="s">
        <v>194</v>
      </c>
      <c r="K251">
        <f t="shared" si="3"/>
        <v>5738.36</v>
      </c>
    </row>
    <row r="252" spans="1:11">
      <c r="A252">
        <v>251</v>
      </c>
      <c r="B252" s="1">
        <v>45329</v>
      </c>
      <c r="C252" t="s">
        <v>14</v>
      </c>
      <c r="D252" t="s">
        <v>15</v>
      </c>
      <c r="E252">
        <v>837.51</v>
      </c>
      <c r="F252">
        <v>3</v>
      </c>
      <c r="G252">
        <v>0.08</v>
      </c>
      <c r="H252">
        <v>0.18</v>
      </c>
      <c r="I252" t="s">
        <v>24</v>
      </c>
      <c r="J252" t="s">
        <v>195</v>
      </c>
      <c r="K252">
        <f t="shared" si="3"/>
        <v>2512.5299999999997</v>
      </c>
    </row>
    <row r="253" spans="1:11">
      <c r="A253">
        <v>252</v>
      </c>
      <c r="B253" s="1">
        <v>45328</v>
      </c>
      <c r="C253" t="s">
        <v>20</v>
      </c>
      <c r="D253" t="s">
        <v>15</v>
      </c>
      <c r="E253">
        <v>408.14</v>
      </c>
      <c r="F253">
        <v>5</v>
      </c>
      <c r="G253">
        <v>0.01</v>
      </c>
      <c r="H253">
        <v>0.26</v>
      </c>
      <c r="I253" t="s">
        <v>24</v>
      </c>
      <c r="J253" t="s">
        <v>37</v>
      </c>
      <c r="K253">
        <f t="shared" si="3"/>
        <v>2040.6999999999998</v>
      </c>
    </row>
    <row r="254" spans="1:11">
      <c r="A254">
        <v>253</v>
      </c>
      <c r="B254" s="1">
        <v>45405</v>
      </c>
      <c r="C254" t="s">
        <v>14</v>
      </c>
      <c r="D254" t="s">
        <v>15</v>
      </c>
      <c r="E254">
        <v>349.77</v>
      </c>
      <c r="F254">
        <v>5</v>
      </c>
      <c r="G254">
        <v>0.27</v>
      </c>
      <c r="H254">
        <v>0.4</v>
      </c>
      <c r="I254" t="s">
        <v>21</v>
      </c>
      <c r="J254" t="s">
        <v>196</v>
      </c>
      <c r="K254">
        <f t="shared" si="3"/>
        <v>1748.85</v>
      </c>
    </row>
    <row r="255" spans="1:11">
      <c r="A255">
        <v>254</v>
      </c>
      <c r="B255" s="1">
        <v>45331</v>
      </c>
      <c r="C255" t="s">
        <v>10</v>
      </c>
      <c r="D255" t="s">
        <v>11</v>
      </c>
      <c r="E255">
        <v>755.34</v>
      </c>
      <c r="F255">
        <v>5</v>
      </c>
      <c r="G255">
        <v>0.27</v>
      </c>
      <c r="H255">
        <v>0.27</v>
      </c>
      <c r="I255" t="s">
        <v>24</v>
      </c>
      <c r="J255" t="s">
        <v>197</v>
      </c>
      <c r="K255">
        <f t="shared" si="3"/>
        <v>3776.7000000000003</v>
      </c>
    </row>
    <row r="256" spans="1:11">
      <c r="A256">
        <v>255</v>
      </c>
      <c r="B256" s="1">
        <v>45507</v>
      </c>
      <c r="C256" t="s">
        <v>23</v>
      </c>
      <c r="D256" t="s">
        <v>15</v>
      </c>
      <c r="E256">
        <v>1025.07</v>
      </c>
      <c r="F256">
        <v>3</v>
      </c>
      <c r="G256">
        <v>0.26</v>
      </c>
      <c r="H256">
        <v>0.32</v>
      </c>
      <c r="I256" t="s">
        <v>16</v>
      </c>
      <c r="J256" t="s">
        <v>137</v>
      </c>
      <c r="K256">
        <f t="shared" si="3"/>
        <v>3075.21</v>
      </c>
    </row>
    <row r="257" spans="1:11">
      <c r="A257">
        <v>256</v>
      </c>
      <c r="B257" s="1">
        <v>45460</v>
      </c>
      <c r="C257" t="s">
        <v>31</v>
      </c>
      <c r="D257" t="s">
        <v>11</v>
      </c>
      <c r="E257">
        <v>1201.2</v>
      </c>
      <c r="F257">
        <v>4</v>
      </c>
      <c r="G257">
        <v>0.26</v>
      </c>
      <c r="H257">
        <v>0.36</v>
      </c>
      <c r="I257" t="s">
        <v>21</v>
      </c>
      <c r="J257" t="s">
        <v>198</v>
      </c>
      <c r="K257">
        <f t="shared" si="3"/>
        <v>4804.8</v>
      </c>
    </row>
    <row r="258" spans="1:11">
      <c r="A258">
        <v>257</v>
      </c>
      <c r="B258" s="1">
        <v>45482</v>
      </c>
      <c r="C258" t="s">
        <v>10</v>
      </c>
      <c r="D258" t="s">
        <v>11</v>
      </c>
      <c r="E258">
        <v>517.66</v>
      </c>
      <c r="F258">
        <v>5</v>
      </c>
      <c r="G258">
        <v>0.21</v>
      </c>
      <c r="H258">
        <v>0.3</v>
      </c>
      <c r="I258" t="s">
        <v>24</v>
      </c>
      <c r="J258" t="s">
        <v>165</v>
      </c>
      <c r="K258">
        <f t="shared" si="3"/>
        <v>2588.2999999999997</v>
      </c>
    </row>
    <row r="259" spans="1:11">
      <c r="A259">
        <v>258</v>
      </c>
      <c r="B259" s="1">
        <v>45605</v>
      </c>
      <c r="C259" t="s">
        <v>14</v>
      </c>
      <c r="D259" t="s">
        <v>15</v>
      </c>
      <c r="E259">
        <v>1056.01</v>
      </c>
      <c r="F259">
        <v>4</v>
      </c>
      <c r="G259">
        <v>0.05</v>
      </c>
      <c r="H259">
        <v>0.36</v>
      </c>
      <c r="I259" t="s">
        <v>12</v>
      </c>
      <c r="J259" t="s">
        <v>199</v>
      </c>
      <c r="K259">
        <f t="shared" si="3"/>
        <v>4224.04</v>
      </c>
    </row>
    <row r="260" spans="1:11">
      <c r="A260">
        <v>259</v>
      </c>
      <c r="B260" s="1">
        <v>45449</v>
      </c>
      <c r="C260" t="s">
        <v>10</v>
      </c>
      <c r="D260" t="s">
        <v>11</v>
      </c>
      <c r="E260">
        <v>711.57</v>
      </c>
      <c r="F260">
        <v>2</v>
      </c>
      <c r="G260">
        <v>0.04</v>
      </c>
      <c r="H260">
        <v>0.2</v>
      </c>
      <c r="I260" t="s">
        <v>21</v>
      </c>
      <c r="J260" t="s">
        <v>135</v>
      </c>
      <c r="K260">
        <f t="shared" ref="K260:K323" si="4">E260*F260</f>
        <v>1423.14</v>
      </c>
    </row>
    <row r="261" spans="1:11">
      <c r="A261">
        <v>260</v>
      </c>
      <c r="B261" s="1">
        <v>45303</v>
      </c>
      <c r="C261" t="s">
        <v>26</v>
      </c>
      <c r="D261" t="s">
        <v>11</v>
      </c>
      <c r="E261">
        <v>1365.33</v>
      </c>
      <c r="F261">
        <v>2</v>
      </c>
      <c r="G261">
        <v>0.25</v>
      </c>
      <c r="H261">
        <v>0.35</v>
      </c>
      <c r="I261" t="s">
        <v>21</v>
      </c>
      <c r="J261" t="s">
        <v>200</v>
      </c>
      <c r="K261">
        <f t="shared" si="4"/>
        <v>2730.66</v>
      </c>
    </row>
    <row r="262" spans="1:11">
      <c r="A262">
        <v>261</v>
      </c>
      <c r="B262" s="1">
        <v>45308</v>
      </c>
      <c r="C262" t="s">
        <v>20</v>
      </c>
      <c r="D262" t="s">
        <v>15</v>
      </c>
      <c r="E262">
        <v>34.42</v>
      </c>
      <c r="F262">
        <v>5</v>
      </c>
      <c r="G262">
        <v>0.19</v>
      </c>
      <c r="H262">
        <v>0.39</v>
      </c>
      <c r="I262" t="s">
        <v>24</v>
      </c>
      <c r="J262" t="s">
        <v>167</v>
      </c>
      <c r="K262">
        <f t="shared" si="4"/>
        <v>172.10000000000002</v>
      </c>
    </row>
    <row r="263" spans="1:11">
      <c r="A263">
        <v>262</v>
      </c>
      <c r="B263" s="1">
        <v>45454</v>
      </c>
      <c r="C263" t="s">
        <v>14</v>
      </c>
      <c r="D263" t="s">
        <v>15</v>
      </c>
      <c r="E263">
        <v>195.87</v>
      </c>
      <c r="F263">
        <v>2</v>
      </c>
      <c r="G263">
        <v>0.19</v>
      </c>
      <c r="H263">
        <v>0.26</v>
      </c>
      <c r="I263" t="s">
        <v>12</v>
      </c>
      <c r="J263" t="s">
        <v>201</v>
      </c>
      <c r="K263">
        <f t="shared" si="4"/>
        <v>391.74</v>
      </c>
    </row>
    <row r="264" spans="1:11">
      <c r="A264">
        <v>263</v>
      </c>
      <c r="B264" s="1">
        <v>45515</v>
      </c>
      <c r="C264" t="s">
        <v>10</v>
      </c>
      <c r="D264" t="s">
        <v>11</v>
      </c>
      <c r="E264">
        <v>214.46</v>
      </c>
      <c r="F264">
        <v>3</v>
      </c>
      <c r="G264">
        <v>0.23</v>
      </c>
      <c r="H264">
        <v>0.26</v>
      </c>
      <c r="I264" t="s">
        <v>21</v>
      </c>
      <c r="J264" t="s">
        <v>202</v>
      </c>
      <c r="K264">
        <f t="shared" si="4"/>
        <v>643.38</v>
      </c>
    </row>
    <row r="265" spans="1:11">
      <c r="A265">
        <v>264</v>
      </c>
      <c r="B265" s="1">
        <v>45569</v>
      </c>
      <c r="C265" t="s">
        <v>26</v>
      </c>
      <c r="D265" t="s">
        <v>11</v>
      </c>
      <c r="E265">
        <v>1264.18</v>
      </c>
      <c r="F265">
        <v>4</v>
      </c>
      <c r="G265">
        <v>0.19</v>
      </c>
      <c r="H265">
        <v>0.38</v>
      </c>
      <c r="I265" t="s">
        <v>12</v>
      </c>
      <c r="J265" t="s">
        <v>203</v>
      </c>
      <c r="K265">
        <f t="shared" si="4"/>
        <v>5056.72</v>
      </c>
    </row>
    <row r="266" spans="1:11">
      <c r="A266">
        <v>265</v>
      </c>
      <c r="B266" s="1">
        <v>45308</v>
      </c>
      <c r="C266" t="s">
        <v>14</v>
      </c>
      <c r="D266" t="s">
        <v>15</v>
      </c>
      <c r="E266">
        <v>1407.41</v>
      </c>
      <c r="F266">
        <v>4</v>
      </c>
      <c r="G266">
        <v>0.02</v>
      </c>
      <c r="H266">
        <v>0.19</v>
      </c>
      <c r="I266" t="s">
        <v>12</v>
      </c>
      <c r="J266" t="s">
        <v>114</v>
      </c>
      <c r="K266">
        <f t="shared" si="4"/>
        <v>5629.64</v>
      </c>
    </row>
    <row r="267" spans="1:11">
      <c r="A267">
        <v>266</v>
      </c>
      <c r="B267" s="1">
        <v>45411</v>
      </c>
      <c r="C267" t="s">
        <v>23</v>
      </c>
      <c r="D267" t="s">
        <v>15</v>
      </c>
      <c r="E267">
        <v>1162.2</v>
      </c>
      <c r="F267">
        <v>1</v>
      </c>
      <c r="G267">
        <v>0.17</v>
      </c>
      <c r="H267">
        <v>0.2</v>
      </c>
      <c r="I267" t="s">
        <v>24</v>
      </c>
      <c r="J267" t="s">
        <v>138</v>
      </c>
      <c r="K267">
        <f t="shared" si="4"/>
        <v>1162.2</v>
      </c>
    </row>
    <row r="268" spans="1:11">
      <c r="A268">
        <v>267</v>
      </c>
      <c r="B268" s="1">
        <v>45495</v>
      </c>
      <c r="C268" t="s">
        <v>31</v>
      </c>
      <c r="D268" t="s">
        <v>11</v>
      </c>
      <c r="E268">
        <v>92.47</v>
      </c>
      <c r="F268">
        <v>2</v>
      </c>
      <c r="G268">
        <v>0.3</v>
      </c>
      <c r="H268">
        <v>0.3</v>
      </c>
      <c r="I268" t="s">
        <v>16</v>
      </c>
      <c r="J268" t="s">
        <v>204</v>
      </c>
      <c r="K268">
        <f t="shared" si="4"/>
        <v>184.94</v>
      </c>
    </row>
    <row r="269" spans="1:11">
      <c r="A269">
        <v>268</v>
      </c>
      <c r="B269" s="1">
        <v>45320</v>
      </c>
      <c r="C269" t="s">
        <v>26</v>
      </c>
      <c r="D269" t="s">
        <v>11</v>
      </c>
      <c r="E269">
        <v>1130.74</v>
      </c>
      <c r="F269">
        <v>3</v>
      </c>
      <c r="G269">
        <v>0.18</v>
      </c>
      <c r="H269">
        <v>0.22</v>
      </c>
      <c r="I269" t="s">
        <v>24</v>
      </c>
      <c r="J269" t="s">
        <v>205</v>
      </c>
      <c r="K269">
        <f t="shared" si="4"/>
        <v>3392.2200000000003</v>
      </c>
    </row>
    <row r="270" spans="1:11">
      <c r="A270">
        <v>269</v>
      </c>
      <c r="B270" s="1">
        <v>45517</v>
      </c>
      <c r="C270" t="s">
        <v>14</v>
      </c>
      <c r="D270" t="s">
        <v>15</v>
      </c>
      <c r="E270">
        <v>57.63</v>
      </c>
      <c r="F270">
        <v>3</v>
      </c>
      <c r="G270">
        <v>0.08</v>
      </c>
      <c r="H270">
        <v>0.1</v>
      </c>
      <c r="I270" t="s">
        <v>21</v>
      </c>
      <c r="J270" t="s">
        <v>206</v>
      </c>
      <c r="K270">
        <f t="shared" si="4"/>
        <v>172.89000000000001</v>
      </c>
    </row>
    <row r="271" spans="1:11">
      <c r="A271">
        <v>270</v>
      </c>
      <c r="B271" s="1">
        <v>45562</v>
      </c>
      <c r="C271" t="s">
        <v>26</v>
      </c>
      <c r="D271" t="s">
        <v>11</v>
      </c>
      <c r="E271">
        <v>1495.76</v>
      </c>
      <c r="F271">
        <v>1</v>
      </c>
      <c r="G271">
        <v>0.03</v>
      </c>
      <c r="H271">
        <v>0.36</v>
      </c>
      <c r="I271" t="s">
        <v>16</v>
      </c>
      <c r="J271" t="s">
        <v>207</v>
      </c>
      <c r="K271">
        <f t="shared" si="4"/>
        <v>1495.76</v>
      </c>
    </row>
    <row r="272" spans="1:11">
      <c r="A272">
        <v>271</v>
      </c>
      <c r="B272" s="1">
        <v>45466</v>
      </c>
      <c r="C272" t="s">
        <v>20</v>
      </c>
      <c r="D272" t="s">
        <v>15</v>
      </c>
      <c r="E272">
        <v>1197.3399999999999</v>
      </c>
      <c r="F272">
        <v>5</v>
      </c>
      <c r="G272">
        <v>0.09</v>
      </c>
      <c r="H272">
        <v>0.35</v>
      </c>
      <c r="I272" t="s">
        <v>24</v>
      </c>
      <c r="J272" t="s">
        <v>34</v>
      </c>
      <c r="K272">
        <f t="shared" si="4"/>
        <v>5986.7</v>
      </c>
    </row>
    <row r="273" spans="1:11">
      <c r="A273">
        <v>272</v>
      </c>
      <c r="B273" s="1">
        <v>45527</v>
      </c>
      <c r="C273" t="s">
        <v>26</v>
      </c>
      <c r="D273" t="s">
        <v>11</v>
      </c>
      <c r="E273">
        <v>1028.74</v>
      </c>
      <c r="F273">
        <v>3</v>
      </c>
      <c r="G273">
        <v>0.08</v>
      </c>
      <c r="H273">
        <v>0.39</v>
      </c>
      <c r="I273" t="s">
        <v>21</v>
      </c>
      <c r="J273" t="s">
        <v>56</v>
      </c>
      <c r="K273">
        <f t="shared" si="4"/>
        <v>3086.2200000000003</v>
      </c>
    </row>
    <row r="274" spans="1:11">
      <c r="A274">
        <v>273</v>
      </c>
      <c r="B274" s="1">
        <v>45375</v>
      </c>
      <c r="C274" t="s">
        <v>10</v>
      </c>
      <c r="D274" t="s">
        <v>11</v>
      </c>
      <c r="E274">
        <v>71.17</v>
      </c>
      <c r="F274">
        <v>5</v>
      </c>
      <c r="G274">
        <v>0.28000000000000003</v>
      </c>
      <c r="H274">
        <v>0.23</v>
      </c>
      <c r="I274" t="s">
        <v>21</v>
      </c>
      <c r="J274" t="s">
        <v>208</v>
      </c>
      <c r="K274">
        <f t="shared" si="4"/>
        <v>355.85</v>
      </c>
    </row>
    <row r="275" spans="1:11">
      <c r="A275">
        <v>274</v>
      </c>
      <c r="B275" s="1">
        <v>45349</v>
      </c>
      <c r="C275" t="s">
        <v>14</v>
      </c>
      <c r="D275" t="s">
        <v>15</v>
      </c>
      <c r="E275">
        <v>611.45000000000005</v>
      </c>
      <c r="F275">
        <v>1</v>
      </c>
      <c r="G275">
        <v>0.13</v>
      </c>
      <c r="H275">
        <v>0.19</v>
      </c>
      <c r="I275" t="s">
        <v>21</v>
      </c>
      <c r="J275" t="s">
        <v>151</v>
      </c>
      <c r="K275">
        <f t="shared" si="4"/>
        <v>611.45000000000005</v>
      </c>
    </row>
    <row r="276" spans="1:11">
      <c r="A276">
        <v>275</v>
      </c>
      <c r="B276" s="1">
        <v>45572</v>
      </c>
      <c r="C276" t="s">
        <v>23</v>
      </c>
      <c r="D276" t="s">
        <v>15</v>
      </c>
      <c r="E276">
        <v>1343.8</v>
      </c>
      <c r="F276">
        <v>2</v>
      </c>
      <c r="G276">
        <v>0.06</v>
      </c>
      <c r="H276">
        <v>0.11</v>
      </c>
      <c r="I276" t="s">
        <v>21</v>
      </c>
      <c r="J276" t="s">
        <v>133</v>
      </c>
      <c r="K276">
        <f t="shared" si="4"/>
        <v>2687.6</v>
      </c>
    </row>
    <row r="277" spans="1:11">
      <c r="A277">
        <v>276</v>
      </c>
      <c r="B277" s="1">
        <v>45363</v>
      </c>
      <c r="C277" t="s">
        <v>26</v>
      </c>
      <c r="D277" t="s">
        <v>11</v>
      </c>
      <c r="E277">
        <v>1079.51</v>
      </c>
      <c r="F277">
        <v>2</v>
      </c>
      <c r="G277">
        <v>0.26</v>
      </c>
      <c r="H277">
        <v>0.24</v>
      </c>
      <c r="I277" t="s">
        <v>16</v>
      </c>
      <c r="J277" t="s">
        <v>40</v>
      </c>
      <c r="K277">
        <f t="shared" si="4"/>
        <v>2159.02</v>
      </c>
    </row>
    <row r="278" spans="1:11">
      <c r="A278">
        <v>277</v>
      </c>
      <c r="B278" s="1">
        <v>45370</v>
      </c>
      <c r="C278" t="s">
        <v>20</v>
      </c>
      <c r="D278" t="s">
        <v>15</v>
      </c>
      <c r="E278">
        <v>259.89</v>
      </c>
      <c r="F278">
        <v>1</v>
      </c>
      <c r="G278">
        <v>0.26</v>
      </c>
      <c r="H278">
        <v>0.33</v>
      </c>
      <c r="I278" t="s">
        <v>21</v>
      </c>
      <c r="J278" t="s">
        <v>96</v>
      </c>
      <c r="K278">
        <f t="shared" si="4"/>
        <v>259.89</v>
      </c>
    </row>
    <row r="279" spans="1:11">
      <c r="A279">
        <v>278</v>
      </c>
      <c r="B279" s="1">
        <v>45472</v>
      </c>
      <c r="C279" t="s">
        <v>23</v>
      </c>
      <c r="D279" t="s">
        <v>15</v>
      </c>
      <c r="E279">
        <v>694.2</v>
      </c>
      <c r="F279">
        <v>2</v>
      </c>
      <c r="G279">
        <v>0.23</v>
      </c>
      <c r="H279">
        <v>0.28999999999999998</v>
      </c>
      <c r="I279" t="s">
        <v>16</v>
      </c>
      <c r="J279" t="s">
        <v>80</v>
      </c>
      <c r="K279">
        <f t="shared" si="4"/>
        <v>1388.4</v>
      </c>
    </row>
    <row r="280" spans="1:11">
      <c r="A280">
        <v>279</v>
      </c>
      <c r="B280" s="1">
        <v>45444</v>
      </c>
      <c r="C280" t="s">
        <v>31</v>
      </c>
      <c r="D280" t="s">
        <v>11</v>
      </c>
      <c r="E280">
        <v>1369.96</v>
      </c>
      <c r="F280">
        <v>2</v>
      </c>
      <c r="G280">
        <v>0.18</v>
      </c>
      <c r="H280">
        <v>0.34</v>
      </c>
      <c r="I280" t="s">
        <v>21</v>
      </c>
      <c r="J280" t="s">
        <v>209</v>
      </c>
      <c r="K280">
        <f t="shared" si="4"/>
        <v>2739.92</v>
      </c>
    </row>
    <row r="281" spans="1:11">
      <c r="A281">
        <v>280</v>
      </c>
      <c r="B281" s="1">
        <v>45300</v>
      </c>
      <c r="C281" t="s">
        <v>23</v>
      </c>
      <c r="D281" t="s">
        <v>15</v>
      </c>
      <c r="E281">
        <v>26.82</v>
      </c>
      <c r="F281">
        <v>1</v>
      </c>
      <c r="G281">
        <v>0.18</v>
      </c>
      <c r="H281">
        <v>0.17</v>
      </c>
      <c r="I281" t="s">
        <v>21</v>
      </c>
      <c r="J281" t="s">
        <v>184</v>
      </c>
      <c r="K281">
        <f t="shared" si="4"/>
        <v>26.82</v>
      </c>
    </row>
    <row r="282" spans="1:11">
      <c r="A282">
        <v>281</v>
      </c>
      <c r="B282" s="1">
        <v>45408</v>
      </c>
      <c r="C282" t="s">
        <v>23</v>
      </c>
      <c r="D282" t="s">
        <v>15</v>
      </c>
      <c r="E282">
        <v>320.77</v>
      </c>
      <c r="F282">
        <v>1</v>
      </c>
      <c r="G282">
        <v>0.05</v>
      </c>
      <c r="H282">
        <v>0.3</v>
      </c>
      <c r="I282" t="s">
        <v>24</v>
      </c>
      <c r="J282" t="s">
        <v>210</v>
      </c>
      <c r="K282">
        <f t="shared" si="4"/>
        <v>320.77</v>
      </c>
    </row>
    <row r="283" spans="1:11">
      <c r="A283">
        <v>282</v>
      </c>
      <c r="B283" s="1">
        <v>45568</v>
      </c>
      <c r="C283" t="s">
        <v>14</v>
      </c>
      <c r="D283" t="s">
        <v>15</v>
      </c>
      <c r="E283">
        <v>895.64</v>
      </c>
      <c r="F283">
        <v>3</v>
      </c>
      <c r="G283">
        <v>0.3</v>
      </c>
      <c r="H283">
        <v>0.14000000000000001</v>
      </c>
      <c r="I283" t="s">
        <v>16</v>
      </c>
      <c r="J283" t="s">
        <v>85</v>
      </c>
      <c r="K283">
        <f t="shared" si="4"/>
        <v>2686.92</v>
      </c>
    </row>
    <row r="284" spans="1:11">
      <c r="A284">
        <v>283</v>
      </c>
      <c r="B284" s="1">
        <v>45323</v>
      </c>
      <c r="C284" t="s">
        <v>10</v>
      </c>
      <c r="D284" t="s">
        <v>11</v>
      </c>
      <c r="E284">
        <v>131.86000000000001</v>
      </c>
      <c r="F284">
        <v>2</v>
      </c>
      <c r="G284">
        <v>0.14000000000000001</v>
      </c>
      <c r="H284">
        <v>0.28000000000000003</v>
      </c>
      <c r="I284" t="s">
        <v>12</v>
      </c>
      <c r="J284" t="s">
        <v>176</v>
      </c>
      <c r="K284">
        <f t="shared" si="4"/>
        <v>263.72000000000003</v>
      </c>
    </row>
    <row r="285" spans="1:11">
      <c r="A285">
        <v>284</v>
      </c>
      <c r="B285" s="1">
        <v>45558</v>
      </c>
      <c r="C285" t="s">
        <v>20</v>
      </c>
      <c r="D285" t="s">
        <v>15</v>
      </c>
      <c r="E285">
        <v>994.05</v>
      </c>
      <c r="F285">
        <v>1</v>
      </c>
      <c r="G285">
        <v>0.26</v>
      </c>
      <c r="H285">
        <v>0.33</v>
      </c>
      <c r="I285" t="s">
        <v>24</v>
      </c>
      <c r="J285" t="s">
        <v>211</v>
      </c>
      <c r="K285">
        <f t="shared" si="4"/>
        <v>994.05</v>
      </c>
    </row>
    <row r="286" spans="1:11">
      <c r="A286">
        <v>285</v>
      </c>
      <c r="B286" s="1">
        <v>45451</v>
      </c>
      <c r="C286" t="s">
        <v>14</v>
      </c>
      <c r="D286" t="s">
        <v>15</v>
      </c>
      <c r="E286">
        <v>733.75</v>
      </c>
      <c r="F286">
        <v>1</v>
      </c>
      <c r="G286">
        <v>7.0000000000000007E-2</v>
      </c>
      <c r="H286">
        <v>0.4</v>
      </c>
      <c r="I286" t="s">
        <v>21</v>
      </c>
      <c r="J286" t="s">
        <v>41</v>
      </c>
      <c r="K286">
        <f t="shared" si="4"/>
        <v>733.75</v>
      </c>
    </row>
    <row r="287" spans="1:11">
      <c r="A287">
        <v>286</v>
      </c>
      <c r="B287" s="1">
        <v>45533</v>
      </c>
      <c r="C287" t="s">
        <v>14</v>
      </c>
      <c r="D287" t="s">
        <v>15</v>
      </c>
      <c r="E287">
        <v>52.09</v>
      </c>
      <c r="F287">
        <v>4</v>
      </c>
      <c r="G287">
        <v>0.21</v>
      </c>
      <c r="H287">
        <v>0.27</v>
      </c>
      <c r="I287" t="s">
        <v>24</v>
      </c>
      <c r="J287" t="s">
        <v>212</v>
      </c>
      <c r="K287">
        <f t="shared" si="4"/>
        <v>208.36</v>
      </c>
    </row>
    <row r="288" spans="1:11">
      <c r="A288">
        <v>287</v>
      </c>
      <c r="B288" s="1">
        <v>45368</v>
      </c>
      <c r="C288" t="s">
        <v>10</v>
      </c>
      <c r="D288" t="s">
        <v>11</v>
      </c>
      <c r="E288">
        <v>506.53</v>
      </c>
      <c r="F288">
        <v>2</v>
      </c>
      <c r="G288">
        <v>0.16</v>
      </c>
      <c r="H288">
        <v>0.36</v>
      </c>
      <c r="I288" t="s">
        <v>12</v>
      </c>
      <c r="J288" t="s">
        <v>39</v>
      </c>
      <c r="K288">
        <f t="shared" si="4"/>
        <v>1013.06</v>
      </c>
    </row>
    <row r="289" spans="1:11">
      <c r="A289">
        <v>288</v>
      </c>
      <c r="B289" s="1">
        <v>45413</v>
      </c>
      <c r="C289" t="s">
        <v>20</v>
      </c>
      <c r="D289" t="s">
        <v>15</v>
      </c>
      <c r="E289">
        <v>140.9</v>
      </c>
      <c r="F289">
        <v>2</v>
      </c>
      <c r="G289">
        <v>0.28999999999999998</v>
      </c>
      <c r="H289">
        <v>0.16</v>
      </c>
      <c r="I289" t="s">
        <v>12</v>
      </c>
      <c r="J289" t="s">
        <v>165</v>
      </c>
      <c r="K289">
        <f t="shared" si="4"/>
        <v>281.8</v>
      </c>
    </row>
    <row r="290" spans="1:11">
      <c r="A290">
        <v>289</v>
      </c>
      <c r="B290" s="1">
        <v>45651</v>
      </c>
      <c r="C290" t="s">
        <v>20</v>
      </c>
      <c r="D290" t="s">
        <v>15</v>
      </c>
      <c r="E290">
        <v>1205.8699999999999</v>
      </c>
      <c r="F290">
        <v>2</v>
      </c>
      <c r="G290">
        <v>0.01</v>
      </c>
      <c r="H290">
        <v>0.3</v>
      </c>
      <c r="I290" t="s">
        <v>16</v>
      </c>
      <c r="J290" t="s">
        <v>126</v>
      </c>
      <c r="K290">
        <f t="shared" si="4"/>
        <v>2411.7399999999998</v>
      </c>
    </row>
    <row r="291" spans="1:11">
      <c r="A291">
        <v>290</v>
      </c>
      <c r="B291" s="1">
        <v>45364</v>
      </c>
      <c r="C291" t="s">
        <v>26</v>
      </c>
      <c r="D291" t="s">
        <v>11</v>
      </c>
      <c r="E291">
        <v>963.73</v>
      </c>
      <c r="F291">
        <v>3</v>
      </c>
      <c r="G291">
        <v>0.27</v>
      </c>
      <c r="H291">
        <v>0.28000000000000003</v>
      </c>
      <c r="I291" t="s">
        <v>24</v>
      </c>
      <c r="J291" t="s">
        <v>213</v>
      </c>
      <c r="K291">
        <f t="shared" si="4"/>
        <v>2891.19</v>
      </c>
    </row>
    <row r="292" spans="1:11">
      <c r="A292">
        <v>291</v>
      </c>
      <c r="B292" s="1">
        <v>45469</v>
      </c>
      <c r="C292" t="s">
        <v>23</v>
      </c>
      <c r="D292" t="s">
        <v>15</v>
      </c>
      <c r="E292">
        <v>101.66</v>
      </c>
      <c r="F292">
        <v>1</v>
      </c>
      <c r="G292">
        <v>0.21</v>
      </c>
      <c r="H292">
        <v>0.36</v>
      </c>
      <c r="I292" t="s">
        <v>24</v>
      </c>
      <c r="J292" t="s">
        <v>75</v>
      </c>
      <c r="K292">
        <f t="shared" si="4"/>
        <v>101.66</v>
      </c>
    </row>
    <row r="293" spans="1:11">
      <c r="A293">
        <v>292</v>
      </c>
      <c r="B293" s="1">
        <v>45298</v>
      </c>
      <c r="C293" t="s">
        <v>14</v>
      </c>
      <c r="D293" t="s">
        <v>15</v>
      </c>
      <c r="E293">
        <v>947.32</v>
      </c>
      <c r="F293">
        <v>4</v>
      </c>
      <c r="G293">
        <v>0.1</v>
      </c>
      <c r="H293">
        <v>0.34</v>
      </c>
      <c r="I293" t="s">
        <v>16</v>
      </c>
      <c r="J293" t="s">
        <v>214</v>
      </c>
      <c r="K293">
        <f t="shared" si="4"/>
        <v>3789.28</v>
      </c>
    </row>
    <row r="294" spans="1:11">
      <c r="A294">
        <v>293</v>
      </c>
      <c r="B294" s="1">
        <v>45294</v>
      </c>
      <c r="C294" t="s">
        <v>31</v>
      </c>
      <c r="D294" t="s">
        <v>11</v>
      </c>
      <c r="E294">
        <v>999.71</v>
      </c>
      <c r="F294">
        <v>4</v>
      </c>
      <c r="G294">
        <v>0.18</v>
      </c>
      <c r="H294">
        <v>0.34</v>
      </c>
      <c r="I294" t="s">
        <v>21</v>
      </c>
      <c r="J294" t="s">
        <v>56</v>
      </c>
      <c r="K294">
        <f t="shared" si="4"/>
        <v>3998.84</v>
      </c>
    </row>
    <row r="295" spans="1:11">
      <c r="A295">
        <v>294</v>
      </c>
      <c r="B295" s="1">
        <v>45303</v>
      </c>
      <c r="C295" t="s">
        <v>23</v>
      </c>
      <c r="D295" t="s">
        <v>15</v>
      </c>
      <c r="E295">
        <v>85.11</v>
      </c>
      <c r="F295">
        <v>4</v>
      </c>
      <c r="G295">
        <v>0.22</v>
      </c>
      <c r="H295">
        <v>0.12</v>
      </c>
      <c r="I295" t="s">
        <v>16</v>
      </c>
      <c r="J295" t="s">
        <v>44</v>
      </c>
      <c r="K295">
        <f t="shared" si="4"/>
        <v>340.44</v>
      </c>
    </row>
    <row r="296" spans="1:11">
      <c r="A296">
        <v>295</v>
      </c>
      <c r="B296" s="1">
        <v>45438</v>
      </c>
      <c r="C296" t="s">
        <v>10</v>
      </c>
      <c r="D296" t="s">
        <v>11</v>
      </c>
      <c r="E296">
        <v>389.48</v>
      </c>
      <c r="F296">
        <v>5</v>
      </c>
      <c r="G296">
        <v>0.14000000000000001</v>
      </c>
      <c r="H296">
        <v>0.28000000000000003</v>
      </c>
      <c r="I296" t="s">
        <v>24</v>
      </c>
      <c r="J296" t="s">
        <v>215</v>
      </c>
      <c r="K296">
        <f t="shared" si="4"/>
        <v>1947.4</v>
      </c>
    </row>
    <row r="297" spans="1:11">
      <c r="A297">
        <v>296</v>
      </c>
      <c r="B297" s="1">
        <v>45600</v>
      </c>
      <c r="C297" t="s">
        <v>10</v>
      </c>
      <c r="D297" t="s">
        <v>11</v>
      </c>
      <c r="E297">
        <v>1464.4</v>
      </c>
      <c r="F297">
        <v>4</v>
      </c>
      <c r="G297">
        <v>0.22</v>
      </c>
      <c r="H297">
        <v>0.36</v>
      </c>
      <c r="I297" t="s">
        <v>16</v>
      </c>
      <c r="J297" t="s">
        <v>138</v>
      </c>
      <c r="K297">
        <f t="shared" si="4"/>
        <v>5857.6</v>
      </c>
    </row>
    <row r="298" spans="1:11">
      <c r="A298">
        <v>297</v>
      </c>
      <c r="B298" s="1">
        <v>45502</v>
      </c>
      <c r="C298" t="s">
        <v>26</v>
      </c>
      <c r="D298" t="s">
        <v>11</v>
      </c>
      <c r="E298">
        <v>996.59</v>
      </c>
      <c r="F298">
        <v>3</v>
      </c>
      <c r="G298">
        <v>0.05</v>
      </c>
      <c r="H298">
        <v>0.11</v>
      </c>
      <c r="I298" t="s">
        <v>12</v>
      </c>
      <c r="J298" t="s">
        <v>114</v>
      </c>
      <c r="K298">
        <f t="shared" si="4"/>
        <v>2989.77</v>
      </c>
    </row>
    <row r="299" spans="1:11">
      <c r="A299">
        <v>298</v>
      </c>
      <c r="B299" s="1">
        <v>45534</v>
      </c>
      <c r="C299" t="s">
        <v>14</v>
      </c>
      <c r="D299" t="s">
        <v>15</v>
      </c>
      <c r="E299">
        <v>361.97</v>
      </c>
      <c r="F299">
        <v>1</v>
      </c>
      <c r="G299">
        <v>0.15</v>
      </c>
      <c r="H299">
        <v>0.12</v>
      </c>
      <c r="I299" t="s">
        <v>12</v>
      </c>
      <c r="J299" t="s">
        <v>216</v>
      </c>
      <c r="K299">
        <f t="shared" si="4"/>
        <v>361.97</v>
      </c>
    </row>
    <row r="300" spans="1:11">
      <c r="A300">
        <v>299</v>
      </c>
      <c r="B300" s="1">
        <v>45623</v>
      </c>
      <c r="C300" t="s">
        <v>10</v>
      </c>
      <c r="D300" t="s">
        <v>11</v>
      </c>
      <c r="E300">
        <v>1028.3399999999999</v>
      </c>
      <c r="F300">
        <v>5</v>
      </c>
      <c r="G300">
        <v>0.13</v>
      </c>
      <c r="H300">
        <v>0.16</v>
      </c>
      <c r="I300" t="s">
        <v>12</v>
      </c>
      <c r="J300" t="s">
        <v>217</v>
      </c>
      <c r="K300">
        <f t="shared" si="4"/>
        <v>5141.7</v>
      </c>
    </row>
    <row r="301" spans="1:11">
      <c r="A301">
        <v>300</v>
      </c>
      <c r="B301" s="1">
        <v>45584</v>
      </c>
      <c r="C301" t="s">
        <v>31</v>
      </c>
      <c r="D301" t="s">
        <v>11</v>
      </c>
      <c r="E301">
        <v>281.94</v>
      </c>
      <c r="F301">
        <v>5</v>
      </c>
      <c r="G301">
        <v>0.22</v>
      </c>
      <c r="H301">
        <v>0.32</v>
      </c>
      <c r="I301" t="s">
        <v>24</v>
      </c>
      <c r="J301" t="s">
        <v>155</v>
      </c>
      <c r="K301">
        <f t="shared" si="4"/>
        <v>1409.7</v>
      </c>
    </row>
    <row r="302" spans="1:11">
      <c r="A302">
        <v>301</v>
      </c>
      <c r="B302" s="1">
        <v>45341</v>
      </c>
      <c r="C302" t="s">
        <v>26</v>
      </c>
      <c r="D302" t="s">
        <v>11</v>
      </c>
      <c r="E302">
        <v>535.25</v>
      </c>
      <c r="F302">
        <v>4</v>
      </c>
      <c r="G302">
        <v>0.23</v>
      </c>
      <c r="H302">
        <v>0.25</v>
      </c>
      <c r="I302" t="s">
        <v>24</v>
      </c>
      <c r="J302" t="s">
        <v>202</v>
      </c>
      <c r="K302">
        <f t="shared" si="4"/>
        <v>2141</v>
      </c>
    </row>
    <row r="303" spans="1:11">
      <c r="A303">
        <v>302</v>
      </c>
      <c r="B303" s="1">
        <v>45519</v>
      </c>
      <c r="C303" t="s">
        <v>14</v>
      </c>
      <c r="D303" t="s">
        <v>15</v>
      </c>
      <c r="E303">
        <v>1303.8699999999999</v>
      </c>
      <c r="F303">
        <v>1</v>
      </c>
      <c r="G303">
        <v>0.13</v>
      </c>
      <c r="H303">
        <v>0.32</v>
      </c>
      <c r="I303" t="s">
        <v>21</v>
      </c>
      <c r="J303" t="s">
        <v>135</v>
      </c>
      <c r="K303">
        <f t="shared" si="4"/>
        <v>1303.8699999999999</v>
      </c>
    </row>
    <row r="304" spans="1:11">
      <c r="A304">
        <v>303</v>
      </c>
      <c r="B304" s="1">
        <v>45534</v>
      </c>
      <c r="C304" t="s">
        <v>20</v>
      </c>
      <c r="D304" t="s">
        <v>15</v>
      </c>
      <c r="E304">
        <v>1313.3</v>
      </c>
      <c r="F304">
        <v>2</v>
      </c>
      <c r="G304">
        <v>0.24</v>
      </c>
      <c r="H304">
        <v>0.3</v>
      </c>
      <c r="I304" t="s">
        <v>21</v>
      </c>
      <c r="J304" t="s">
        <v>17</v>
      </c>
      <c r="K304">
        <f t="shared" si="4"/>
        <v>2626.6</v>
      </c>
    </row>
    <row r="305" spans="1:11">
      <c r="A305">
        <v>304</v>
      </c>
      <c r="B305" s="1">
        <v>45331</v>
      </c>
      <c r="C305" t="s">
        <v>23</v>
      </c>
      <c r="D305" t="s">
        <v>15</v>
      </c>
      <c r="E305">
        <v>898.72</v>
      </c>
      <c r="F305">
        <v>5</v>
      </c>
      <c r="G305">
        <v>0.06</v>
      </c>
      <c r="H305">
        <v>0.28999999999999998</v>
      </c>
      <c r="I305" t="s">
        <v>24</v>
      </c>
      <c r="J305" t="s">
        <v>218</v>
      </c>
      <c r="K305">
        <f t="shared" si="4"/>
        <v>4493.6000000000004</v>
      </c>
    </row>
    <row r="306" spans="1:11">
      <c r="A306">
        <v>305</v>
      </c>
      <c r="B306" s="1">
        <v>45531</v>
      </c>
      <c r="C306" t="s">
        <v>20</v>
      </c>
      <c r="D306" t="s">
        <v>15</v>
      </c>
      <c r="E306">
        <v>1258.0999999999999</v>
      </c>
      <c r="F306">
        <v>1</v>
      </c>
      <c r="G306">
        <v>0.04</v>
      </c>
      <c r="H306">
        <v>0.31</v>
      </c>
      <c r="I306" t="s">
        <v>24</v>
      </c>
      <c r="J306" t="s">
        <v>129</v>
      </c>
      <c r="K306">
        <f t="shared" si="4"/>
        <v>1258.0999999999999</v>
      </c>
    </row>
    <row r="307" spans="1:11">
      <c r="A307">
        <v>306</v>
      </c>
      <c r="B307" s="1">
        <v>45584</v>
      </c>
      <c r="C307" t="s">
        <v>10</v>
      </c>
      <c r="D307" t="s">
        <v>11</v>
      </c>
      <c r="E307">
        <v>912.74</v>
      </c>
      <c r="F307">
        <v>2</v>
      </c>
      <c r="G307">
        <v>7.0000000000000007E-2</v>
      </c>
      <c r="H307">
        <v>0.39</v>
      </c>
      <c r="I307" t="s">
        <v>21</v>
      </c>
      <c r="J307" t="s">
        <v>219</v>
      </c>
      <c r="K307">
        <f t="shared" si="4"/>
        <v>1825.48</v>
      </c>
    </row>
    <row r="308" spans="1:11">
      <c r="A308">
        <v>307</v>
      </c>
      <c r="B308" s="1">
        <v>45402</v>
      </c>
      <c r="C308" t="s">
        <v>20</v>
      </c>
      <c r="D308" t="s">
        <v>15</v>
      </c>
      <c r="E308">
        <v>1285.22</v>
      </c>
      <c r="F308">
        <v>5</v>
      </c>
      <c r="G308">
        <v>0.13</v>
      </c>
      <c r="H308">
        <v>0.13</v>
      </c>
      <c r="I308" t="s">
        <v>24</v>
      </c>
      <c r="J308" t="s">
        <v>47</v>
      </c>
      <c r="K308">
        <f t="shared" si="4"/>
        <v>6426.1</v>
      </c>
    </row>
    <row r="309" spans="1:11">
      <c r="A309">
        <v>308</v>
      </c>
      <c r="B309" s="1">
        <v>45436</v>
      </c>
      <c r="C309" t="s">
        <v>20</v>
      </c>
      <c r="D309" t="s">
        <v>15</v>
      </c>
      <c r="E309">
        <v>899.55</v>
      </c>
      <c r="F309">
        <v>1</v>
      </c>
      <c r="G309">
        <v>0.2</v>
      </c>
      <c r="H309">
        <v>0.13</v>
      </c>
      <c r="I309" t="s">
        <v>16</v>
      </c>
      <c r="J309" t="s">
        <v>131</v>
      </c>
      <c r="K309">
        <f t="shared" si="4"/>
        <v>899.55</v>
      </c>
    </row>
    <row r="310" spans="1:11">
      <c r="A310">
        <v>309</v>
      </c>
      <c r="B310" s="1">
        <v>45552</v>
      </c>
      <c r="C310" t="s">
        <v>10</v>
      </c>
      <c r="D310" t="s">
        <v>11</v>
      </c>
      <c r="E310">
        <v>601.85</v>
      </c>
      <c r="F310">
        <v>1</v>
      </c>
      <c r="G310">
        <v>0.12</v>
      </c>
      <c r="H310">
        <v>0.36</v>
      </c>
      <c r="I310" t="s">
        <v>12</v>
      </c>
      <c r="J310" t="s">
        <v>40</v>
      </c>
      <c r="K310">
        <f t="shared" si="4"/>
        <v>601.85</v>
      </c>
    </row>
    <row r="311" spans="1:11">
      <c r="A311">
        <v>310</v>
      </c>
      <c r="B311" s="1">
        <v>45594</v>
      </c>
      <c r="C311" t="s">
        <v>26</v>
      </c>
      <c r="D311" t="s">
        <v>11</v>
      </c>
      <c r="E311">
        <v>504.66</v>
      </c>
      <c r="F311">
        <v>4</v>
      </c>
      <c r="G311">
        <v>0.04</v>
      </c>
      <c r="H311">
        <v>0.39</v>
      </c>
      <c r="I311" t="s">
        <v>24</v>
      </c>
      <c r="J311" t="s">
        <v>180</v>
      </c>
      <c r="K311">
        <f t="shared" si="4"/>
        <v>2018.64</v>
      </c>
    </row>
    <row r="312" spans="1:11">
      <c r="A312">
        <v>311</v>
      </c>
      <c r="B312" s="1">
        <v>45384</v>
      </c>
      <c r="C312" t="s">
        <v>14</v>
      </c>
      <c r="D312" t="s">
        <v>15</v>
      </c>
      <c r="E312">
        <v>371.14</v>
      </c>
      <c r="F312">
        <v>2</v>
      </c>
      <c r="G312">
        <v>0.02</v>
      </c>
      <c r="H312">
        <v>0.15</v>
      </c>
      <c r="I312" t="s">
        <v>24</v>
      </c>
      <c r="J312" t="s">
        <v>157</v>
      </c>
      <c r="K312">
        <f t="shared" si="4"/>
        <v>742.28</v>
      </c>
    </row>
    <row r="313" spans="1:11">
      <c r="A313">
        <v>312</v>
      </c>
      <c r="B313" s="1">
        <v>45462</v>
      </c>
      <c r="C313" t="s">
        <v>26</v>
      </c>
      <c r="D313" t="s">
        <v>11</v>
      </c>
      <c r="E313">
        <v>522.08000000000004</v>
      </c>
      <c r="F313">
        <v>1</v>
      </c>
      <c r="G313">
        <v>0.13</v>
      </c>
      <c r="H313">
        <v>0.17</v>
      </c>
      <c r="I313" t="s">
        <v>21</v>
      </c>
      <c r="J313" t="s">
        <v>158</v>
      </c>
      <c r="K313">
        <f t="shared" si="4"/>
        <v>522.08000000000004</v>
      </c>
    </row>
    <row r="314" spans="1:11">
      <c r="A314">
        <v>313</v>
      </c>
      <c r="B314" s="1">
        <v>45412</v>
      </c>
      <c r="C314" t="s">
        <v>23</v>
      </c>
      <c r="D314" t="s">
        <v>15</v>
      </c>
      <c r="E314">
        <v>1424.16</v>
      </c>
      <c r="F314">
        <v>1</v>
      </c>
      <c r="G314">
        <v>0.05</v>
      </c>
      <c r="H314">
        <v>0.15</v>
      </c>
      <c r="I314" t="s">
        <v>12</v>
      </c>
      <c r="J314" t="s">
        <v>220</v>
      </c>
      <c r="K314">
        <f t="shared" si="4"/>
        <v>1424.16</v>
      </c>
    </row>
    <row r="315" spans="1:11">
      <c r="A315">
        <v>314</v>
      </c>
      <c r="B315" s="1">
        <v>45411</v>
      </c>
      <c r="C315" t="s">
        <v>20</v>
      </c>
      <c r="D315" t="s">
        <v>15</v>
      </c>
      <c r="E315">
        <v>918.17</v>
      </c>
      <c r="F315">
        <v>5</v>
      </c>
      <c r="G315">
        <v>0.16</v>
      </c>
      <c r="H315">
        <v>0.33</v>
      </c>
      <c r="I315" t="s">
        <v>12</v>
      </c>
      <c r="J315" t="s">
        <v>19</v>
      </c>
      <c r="K315">
        <f t="shared" si="4"/>
        <v>4590.8499999999995</v>
      </c>
    </row>
    <row r="316" spans="1:11">
      <c r="A316">
        <v>315</v>
      </c>
      <c r="B316" s="1">
        <v>45542</v>
      </c>
      <c r="C316" t="s">
        <v>14</v>
      </c>
      <c r="D316" t="s">
        <v>15</v>
      </c>
      <c r="E316">
        <v>1213.3599999999999</v>
      </c>
      <c r="F316">
        <v>4</v>
      </c>
      <c r="G316">
        <v>0.26</v>
      </c>
      <c r="H316">
        <v>0.27</v>
      </c>
      <c r="I316" t="s">
        <v>12</v>
      </c>
      <c r="J316" t="s">
        <v>153</v>
      </c>
      <c r="K316">
        <f t="shared" si="4"/>
        <v>4853.4399999999996</v>
      </c>
    </row>
    <row r="317" spans="1:11">
      <c r="A317">
        <v>316</v>
      </c>
      <c r="B317" s="1">
        <v>45584</v>
      </c>
      <c r="C317" t="s">
        <v>23</v>
      </c>
      <c r="D317" t="s">
        <v>15</v>
      </c>
      <c r="E317">
        <v>190.08</v>
      </c>
      <c r="F317">
        <v>2</v>
      </c>
      <c r="G317">
        <v>0.3</v>
      </c>
      <c r="H317">
        <v>0.14000000000000001</v>
      </c>
      <c r="I317" t="s">
        <v>12</v>
      </c>
      <c r="J317" t="s">
        <v>45</v>
      </c>
      <c r="K317">
        <f t="shared" si="4"/>
        <v>380.16</v>
      </c>
    </row>
    <row r="318" spans="1:11">
      <c r="A318">
        <v>317</v>
      </c>
      <c r="B318" s="1">
        <v>45536</v>
      </c>
      <c r="C318" t="s">
        <v>20</v>
      </c>
      <c r="D318" t="s">
        <v>15</v>
      </c>
      <c r="E318">
        <v>1406.49</v>
      </c>
      <c r="F318">
        <v>5</v>
      </c>
      <c r="G318">
        <v>0.19</v>
      </c>
      <c r="H318">
        <v>0.17</v>
      </c>
      <c r="I318" t="s">
        <v>24</v>
      </c>
      <c r="J318" t="s">
        <v>169</v>
      </c>
      <c r="K318">
        <f t="shared" si="4"/>
        <v>7032.45</v>
      </c>
    </row>
    <row r="319" spans="1:11">
      <c r="A319">
        <v>318</v>
      </c>
      <c r="B319" s="1">
        <v>45567</v>
      </c>
      <c r="C319" t="s">
        <v>10</v>
      </c>
      <c r="D319" t="s">
        <v>11</v>
      </c>
      <c r="E319">
        <v>155.62</v>
      </c>
      <c r="F319">
        <v>1</v>
      </c>
      <c r="G319">
        <v>0.15</v>
      </c>
      <c r="H319">
        <v>0.11</v>
      </c>
      <c r="I319" t="s">
        <v>16</v>
      </c>
      <c r="J319" t="s">
        <v>166</v>
      </c>
      <c r="K319">
        <f t="shared" si="4"/>
        <v>155.62</v>
      </c>
    </row>
    <row r="320" spans="1:11">
      <c r="A320">
        <v>319</v>
      </c>
      <c r="B320" s="1">
        <v>45597</v>
      </c>
      <c r="C320" t="s">
        <v>23</v>
      </c>
      <c r="D320" t="s">
        <v>15</v>
      </c>
      <c r="E320">
        <v>1480.28</v>
      </c>
      <c r="F320">
        <v>3</v>
      </c>
      <c r="G320">
        <v>0</v>
      </c>
      <c r="H320">
        <v>0.39</v>
      </c>
      <c r="I320" t="s">
        <v>12</v>
      </c>
      <c r="J320" t="s">
        <v>114</v>
      </c>
      <c r="K320">
        <f t="shared" si="4"/>
        <v>4440.84</v>
      </c>
    </row>
    <row r="321" spans="1:11">
      <c r="A321">
        <v>320</v>
      </c>
      <c r="B321" s="1">
        <v>45631</v>
      </c>
      <c r="C321" t="s">
        <v>20</v>
      </c>
      <c r="D321" t="s">
        <v>15</v>
      </c>
      <c r="E321">
        <v>1460.32</v>
      </c>
      <c r="F321">
        <v>3</v>
      </c>
      <c r="G321">
        <v>0.15</v>
      </c>
      <c r="H321">
        <v>0.3</v>
      </c>
      <c r="I321" t="s">
        <v>24</v>
      </c>
      <c r="J321" t="s">
        <v>44</v>
      </c>
      <c r="K321">
        <f t="shared" si="4"/>
        <v>4380.96</v>
      </c>
    </row>
    <row r="322" spans="1:11">
      <c r="A322">
        <v>321</v>
      </c>
      <c r="B322" s="1">
        <v>45299</v>
      </c>
      <c r="C322" t="s">
        <v>31</v>
      </c>
      <c r="D322" t="s">
        <v>11</v>
      </c>
      <c r="E322">
        <v>210.47</v>
      </c>
      <c r="F322">
        <v>5</v>
      </c>
      <c r="G322">
        <v>0.04</v>
      </c>
      <c r="H322">
        <v>0.38</v>
      </c>
      <c r="I322" t="s">
        <v>12</v>
      </c>
      <c r="J322" t="s">
        <v>110</v>
      </c>
      <c r="K322">
        <f t="shared" si="4"/>
        <v>1052.3499999999999</v>
      </c>
    </row>
    <row r="323" spans="1:11">
      <c r="A323">
        <v>322</v>
      </c>
      <c r="B323" s="1">
        <v>45649</v>
      </c>
      <c r="C323" t="s">
        <v>14</v>
      </c>
      <c r="D323" t="s">
        <v>15</v>
      </c>
      <c r="E323">
        <v>1455.62</v>
      </c>
      <c r="F323">
        <v>1</v>
      </c>
      <c r="G323">
        <v>0.22</v>
      </c>
      <c r="H323">
        <v>0.15</v>
      </c>
      <c r="I323" t="s">
        <v>21</v>
      </c>
      <c r="J323" t="s">
        <v>195</v>
      </c>
      <c r="K323">
        <f t="shared" si="4"/>
        <v>1455.62</v>
      </c>
    </row>
    <row r="324" spans="1:11">
      <c r="A324">
        <v>323</v>
      </c>
      <c r="B324" s="1">
        <v>45405</v>
      </c>
      <c r="C324" t="s">
        <v>23</v>
      </c>
      <c r="D324" t="s">
        <v>15</v>
      </c>
      <c r="E324">
        <v>1305.51</v>
      </c>
      <c r="F324">
        <v>2</v>
      </c>
      <c r="G324">
        <v>0.2</v>
      </c>
      <c r="H324">
        <v>0.39</v>
      </c>
      <c r="I324" t="s">
        <v>21</v>
      </c>
      <c r="J324" t="s">
        <v>74</v>
      </c>
      <c r="K324">
        <f t="shared" ref="K324:K387" si="5">E324*F324</f>
        <v>2611.02</v>
      </c>
    </row>
    <row r="325" spans="1:11">
      <c r="A325">
        <v>324</v>
      </c>
      <c r="B325" s="1">
        <v>45367</v>
      </c>
      <c r="C325" t="s">
        <v>10</v>
      </c>
      <c r="D325" t="s">
        <v>11</v>
      </c>
      <c r="E325">
        <v>385.12</v>
      </c>
      <c r="F325">
        <v>2</v>
      </c>
      <c r="G325">
        <v>0.26</v>
      </c>
      <c r="H325">
        <v>0.27</v>
      </c>
      <c r="I325" t="s">
        <v>16</v>
      </c>
      <c r="J325" t="s">
        <v>221</v>
      </c>
      <c r="K325">
        <f t="shared" si="5"/>
        <v>770.24</v>
      </c>
    </row>
    <row r="326" spans="1:11">
      <c r="A326">
        <v>325</v>
      </c>
      <c r="B326" s="1">
        <v>45438</v>
      </c>
      <c r="C326" t="s">
        <v>14</v>
      </c>
      <c r="D326" t="s">
        <v>15</v>
      </c>
      <c r="E326">
        <v>191.84</v>
      </c>
      <c r="F326">
        <v>1</v>
      </c>
      <c r="G326">
        <v>0.21</v>
      </c>
      <c r="H326">
        <v>0.3</v>
      </c>
      <c r="I326" t="s">
        <v>21</v>
      </c>
      <c r="J326" t="s">
        <v>222</v>
      </c>
      <c r="K326">
        <f t="shared" si="5"/>
        <v>191.84</v>
      </c>
    </row>
    <row r="327" spans="1:11">
      <c r="A327">
        <v>326</v>
      </c>
      <c r="B327" s="1">
        <v>45511</v>
      </c>
      <c r="C327" t="s">
        <v>10</v>
      </c>
      <c r="D327" t="s">
        <v>11</v>
      </c>
      <c r="E327">
        <v>1412.79</v>
      </c>
      <c r="F327">
        <v>5</v>
      </c>
      <c r="G327">
        <v>0.2</v>
      </c>
      <c r="H327">
        <v>0.27</v>
      </c>
      <c r="I327" t="s">
        <v>24</v>
      </c>
      <c r="J327" t="s">
        <v>29</v>
      </c>
      <c r="K327">
        <f t="shared" si="5"/>
        <v>7063.95</v>
      </c>
    </row>
    <row r="328" spans="1:11">
      <c r="A328">
        <v>327</v>
      </c>
      <c r="B328" s="1">
        <v>45560</v>
      </c>
      <c r="C328" t="s">
        <v>20</v>
      </c>
      <c r="D328" t="s">
        <v>15</v>
      </c>
      <c r="E328">
        <v>259.95</v>
      </c>
      <c r="F328">
        <v>1</v>
      </c>
      <c r="G328">
        <v>0.26</v>
      </c>
      <c r="H328">
        <v>0.4</v>
      </c>
      <c r="I328" t="s">
        <v>21</v>
      </c>
      <c r="J328" t="s">
        <v>204</v>
      </c>
      <c r="K328">
        <f t="shared" si="5"/>
        <v>259.95</v>
      </c>
    </row>
    <row r="329" spans="1:11">
      <c r="A329">
        <v>328</v>
      </c>
      <c r="B329" s="1">
        <v>45389</v>
      </c>
      <c r="C329" t="s">
        <v>31</v>
      </c>
      <c r="D329" t="s">
        <v>11</v>
      </c>
      <c r="E329">
        <v>1179.02</v>
      </c>
      <c r="F329">
        <v>5</v>
      </c>
      <c r="G329">
        <v>0.09</v>
      </c>
      <c r="H329">
        <v>0.13</v>
      </c>
      <c r="I329" t="s">
        <v>16</v>
      </c>
      <c r="J329" t="s">
        <v>223</v>
      </c>
      <c r="K329">
        <f t="shared" si="5"/>
        <v>5895.1</v>
      </c>
    </row>
    <row r="330" spans="1:11">
      <c r="A330">
        <v>329</v>
      </c>
      <c r="B330" s="1">
        <v>45373</v>
      </c>
      <c r="C330" t="s">
        <v>23</v>
      </c>
      <c r="D330" t="s">
        <v>15</v>
      </c>
      <c r="E330">
        <v>621.11</v>
      </c>
      <c r="F330">
        <v>4</v>
      </c>
      <c r="G330">
        <v>0.2</v>
      </c>
      <c r="H330">
        <v>0.34</v>
      </c>
      <c r="I330" t="s">
        <v>24</v>
      </c>
      <c r="J330" t="s">
        <v>224</v>
      </c>
      <c r="K330">
        <f t="shared" si="5"/>
        <v>2484.44</v>
      </c>
    </row>
    <row r="331" spans="1:11">
      <c r="A331">
        <v>330</v>
      </c>
      <c r="B331" s="1">
        <v>45601</v>
      </c>
      <c r="C331" t="s">
        <v>26</v>
      </c>
      <c r="D331" t="s">
        <v>11</v>
      </c>
      <c r="E331">
        <v>1319.89</v>
      </c>
      <c r="F331">
        <v>3</v>
      </c>
      <c r="G331">
        <v>0.26</v>
      </c>
      <c r="H331">
        <v>0.21</v>
      </c>
      <c r="I331" t="s">
        <v>24</v>
      </c>
      <c r="J331" t="s">
        <v>94</v>
      </c>
      <c r="K331">
        <f t="shared" si="5"/>
        <v>3959.67</v>
      </c>
    </row>
    <row r="332" spans="1:11">
      <c r="A332">
        <v>331</v>
      </c>
      <c r="B332" s="1">
        <v>45490</v>
      </c>
      <c r="C332" t="s">
        <v>20</v>
      </c>
      <c r="D332" t="s">
        <v>15</v>
      </c>
      <c r="E332">
        <v>982.39</v>
      </c>
      <c r="F332">
        <v>5</v>
      </c>
      <c r="G332">
        <v>0.1</v>
      </c>
      <c r="H332">
        <v>0.21</v>
      </c>
      <c r="I332" t="s">
        <v>16</v>
      </c>
      <c r="J332" t="s">
        <v>225</v>
      </c>
      <c r="K332">
        <f t="shared" si="5"/>
        <v>4911.95</v>
      </c>
    </row>
    <row r="333" spans="1:11">
      <c r="A333">
        <v>332</v>
      </c>
      <c r="B333" s="1">
        <v>45596</v>
      </c>
      <c r="C333" t="s">
        <v>10</v>
      </c>
      <c r="D333" t="s">
        <v>11</v>
      </c>
      <c r="E333">
        <v>856.07</v>
      </c>
      <c r="F333">
        <v>3</v>
      </c>
      <c r="G333">
        <v>0.12</v>
      </c>
      <c r="H333">
        <v>0.23</v>
      </c>
      <c r="I333" t="s">
        <v>24</v>
      </c>
      <c r="J333" t="s">
        <v>226</v>
      </c>
      <c r="K333">
        <f t="shared" si="5"/>
        <v>2568.21</v>
      </c>
    </row>
    <row r="334" spans="1:11">
      <c r="A334">
        <v>333</v>
      </c>
      <c r="B334" s="1">
        <v>45646</v>
      </c>
      <c r="C334" t="s">
        <v>26</v>
      </c>
      <c r="D334" t="s">
        <v>11</v>
      </c>
      <c r="E334">
        <v>829.89</v>
      </c>
      <c r="F334">
        <v>3</v>
      </c>
      <c r="G334">
        <v>7.0000000000000007E-2</v>
      </c>
      <c r="H334">
        <v>0.12</v>
      </c>
      <c r="I334" t="s">
        <v>16</v>
      </c>
      <c r="J334" t="s">
        <v>227</v>
      </c>
      <c r="K334">
        <f t="shared" si="5"/>
        <v>2489.67</v>
      </c>
    </row>
    <row r="335" spans="1:11">
      <c r="A335">
        <v>334</v>
      </c>
      <c r="B335" s="1">
        <v>45376</v>
      </c>
      <c r="C335" t="s">
        <v>23</v>
      </c>
      <c r="D335" t="s">
        <v>15</v>
      </c>
      <c r="E335">
        <v>273.45999999999998</v>
      </c>
      <c r="F335">
        <v>2</v>
      </c>
      <c r="G335">
        <v>0.23</v>
      </c>
      <c r="H335">
        <v>0.25</v>
      </c>
      <c r="I335" t="s">
        <v>21</v>
      </c>
      <c r="J335" t="s">
        <v>173</v>
      </c>
      <c r="K335">
        <f t="shared" si="5"/>
        <v>546.91999999999996</v>
      </c>
    </row>
    <row r="336" spans="1:11">
      <c r="A336">
        <v>335</v>
      </c>
      <c r="B336" s="1">
        <v>45445</v>
      </c>
      <c r="C336" t="s">
        <v>23</v>
      </c>
      <c r="D336" t="s">
        <v>15</v>
      </c>
      <c r="E336">
        <v>1298.42</v>
      </c>
      <c r="F336">
        <v>2</v>
      </c>
      <c r="G336">
        <v>0.14000000000000001</v>
      </c>
      <c r="H336">
        <v>0.11</v>
      </c>
      <c r="I336" t="s">
        <v>16</v>
      </c>
      <c r="J336" t="s">
        <v>228</v>
      </c>
      <c r="K336">
        <f t="shared" si="5"/>
        <v>2596.84</v>
      </c>
    </row>
    <row r="337" spans="1:11">
      <c r="A337">
        <v>336</v>
      </c>
      <c r="B337" s="1">
        <v>45591</v>
      </c>
      <c r="C337" t="s">
        <v>20</v>
      </c>
      <c r="D337" t="s">
        <v>15</v>
      </c>
      <c r="E337">
        <v>185.65</v>
      </c>
      <c r="F337">
        <v>5</v>
      </c>
      <c r="G337">
        <v>0.12</v>
      </c>
      <c r="H337">
        <v>0.27</v>
      </c>
      <c r="I337" t="s">
        <v>24</v>
      </c>
      <c r="J337" t="s">
        <v>229</v>
      </c>
      <c r="K337">
        <f t="shared" si="5"/>
        <v>928.25</v>
      </c>
    </row>
    <row r="338" spans="1:11">
      <c r="A338">
        <v>337</v>
      </c>
      <c r="B338" s="1">
        <v>45655</v>
      </c>
      <c r="C338" t="s">
        <v>20</v>
      </c>
      <c r="D338" t="s">
        <v>15</v>
      </c>
      <c r="E338">
        <v>728.13</v>
      </c>
      <c r="F338">
        <v>3</v>
      </c>
      <c r="G338">
        <v>0.23</v>
      </c>
      <c r="H338">
        <v>0.34</v>
      </c>
      <c r="I338" t="s">
        <v>21</v>
      </c>
      <c r="J338" t="s">
        <v>159</v>
      </c>
      <c r="K338">
        <f t="shared" si="5"/>
        <v>2184.39</v>
      </c>
    </row>
    <row r="339" spans="1:11">
      <c r="A339">
        <v>338</v>
      </c>
      <c r="B339" s="1">
        <v>45627</v>
      </c>
      <c r="C339" t="s">
        <v>20</v>
      </c>
      <c r="D339" t="s">
        <v>15</v>
      </c>
      <c r="E339">
        <v>1434.4</v>
      </c>
      <c r="F339">
        <v>5</v>
      </c>
      <c r="G339">
        <v>0.25</v>
      </c>
      <c r="H339">
        <v>0.23</v>
      </c>
      <c r="I339" t="s">
        <v>24</v>
      </c>
      <c r="J339" t="s">
        <v>225</v>
      </c>
      <c r="K339">
        <f t="shared" si="5"/>
        <v>7172</v>
      </c>
    </row>
    <row r="340" spans="1:11">
      <c r="A340">
        <v>339</v>
      </c>
      <c r="B340" s="1">
        <v>45342</v>
      </c>
      <c r="C340" t="s">
        <v>26</v>
      </c>
      <c r="D340" t="s">
        <v>11</v>
      </c>
      <c r="E340">
        <v>980.03</v>
      </c>
      <c r="F340">
        <v>4</v>
      </c>
      <c r="G340">
        <v>0.28999999999999998</v>
      </c>
      <c r="H340">
        <v>0.3</v>
      </c>
      <c r="I340" t="s">
        <v>16</v>
      </c>
      <c r="J340" t="s">
        <v>216</v>
      </c>
      <c r="K340">
        <f t="shared" si="5"/>
        <v>3920.12</v>
      </c>
    </row>
    <row r="341" spans="1:11">
      <c r="A341">
        <v>340</v>
      </c>
      <c r="B341" s="1">
        <v>45625</v>
      </c>
      <c r="C341" t="s">
        <v>26</v>
      </c>
      <c r="D341" t="s">
        <v>11</v>
      </c>
      <c r="E341">
        <v>113.89</v>
      </c>
      <c r="F341">
        <v>5</v>
      </c>
      <c r="G341">
        <v>0.14000000000000001</v>
      </c>
      <c r="H341">
        <v>0.16</v>
      </c>
      <c r="I341" t="s">
        <v>21</v>
      </c>
      <c r="J341" t="s">
        <v>50</v>
      </c>
      <c r="K341">
        <f t="shared" si="5"/>
        <v>569.45000000000005</v>
      </c>
    </row>
    <row r="342" spans="1:11">
      <c r="A342">
        <v>341</v>
      </c>
      <c r="B342" s="1">
        <v>45530</v>
      </c>
      <c r="C342" t="s">
        <v>20</v>
      </c>
      <c r="D342" t="s">
        <v>15</v>
      </c>
      <c r="E342">
        <v>741.66</v>
      </c>
      <c r="F342">
        <v>5</v>
      </c>
      <c r="G342">
        <v>0.09</v>
      </c>
      <c r="H342">
        <v>0.19</v>
      </c>
      <c r="I342" t="s">
        <v>12</v>
      </c>
      <c r="J342" t="s">
        <v>230</v>
      </c>
      <c r="K342">
        <f t="shared" si="5"/>
        <v>3708.2999999999997</v>
      </c>
    </row>
    <row r="343" spans="1:11">
      <c r="A343">
        <v>342</v>
      </c>
      <c r="B343" s="1">
        <v>45368</v>
      </c>
      <c r="C343" t="s">
        <v>23</v>
      </c>
      <c r="D343" t="s">
        <v>15</v>
      </c>
      <c r="E343">
        <v>810.08</v>
      </c>
      <c r="F343">
        <v>2</v>
      </c>
      <c r="G343">
        <v>0.18</v>
      </c>
      <c r="H343">
        <v>0.31</v>
      </c>
      <c r="I343" t="s">
        <v>16</v>
      </c>
      <c r="J343" t="s">
        <v>37</v>
      </c>
      <c r="K343">
        <f t="shared" si="5"/>
        <v>1620.16</v>
      </c>
    </row>
    <row r="344" spans="1:11">
      <c r="A344">
        <v>343</v>
      </c>
      <c r="B344" s="1">
        <v>45399</v>
      </c>
      <c r="C344" t="s">
        <v>14</v>
      </c>
      <c r="D344" t="s">
        <v>15</v>
      </c>
      <c r="E344">
        <v>634.98</v>
      </c>
      <c r="F344">
        <v>1</v>
      </c>
      <c r="G344">
        <v>0.16</v>
      </c>
      <c r="H344">
        <v>0.14000000000000001</v>
      </c>
      <c r="I344" t="s">
        <v>21</v>
      </c>
      <c r="J344" t="s">
        <v>231</v>
      </c>
      <c r="K344">
        <f t="shared" si="5"/>
        <v>634.98</v>
      </c>
    </row>
    <row r="345" spans="1:11">
      <c r="A345">
        <v>344</v>
      </c>
      <c r="B345" s="1">
        <v>45532</v>
      </c>
      <c r="C345" t="s">
        <v>26</v>
      </c>
      <c r="D345" t="s">
        <v>11</v>
      </c>
      <c r="E345">
        <v>292.62</v>
      </c>
      <c r="F345">
        <v>5</v>
      </c>
      <c r="G345">
        <v>0.06</v>
      </c>
      <c r="H345">
        <v>0.19</v>
      </c>
      <c r="I345" t="s">
        <v>16</v>
      </c>
      <c r="J345" t="s">
        <v>100</v>
      </c>
      <c r="K345">
        <f t="shared" si="5"/>
        <v>1463.1</v>
      </c>
    </row>
    <row r="346" spans="1:11">
      <c r="A346">
        <v>345</v>
      </c>
      <c r="B346" s="1">
        <v>45554</v>
      </c>
      <c r="C346" t="s">
        <v>14</v>
      </c>
      <c r="D346" t="s">
        <v>15</v>
      </c>
      <c r="E346">
        <v>861.79</v>
      </c>
      <c r="F346">
        <v>2</v>
      </c>
      <c r="G346">
        <v>0.28000000000000003</v>
      </c>
      <c r="H346">
        <v>0.23</v>
      </c>
      <c r="I346" t="s">
        <v>21</v>
      </c>
      <c r="J346" t="s">
        <v>232</v>
      </c>
      <c r="K346">
        <f t="shared" si="5"/>
        <v>1723.58</v>
      </c>
    </row>
    <row r="347" spans="1:11">
      <c r="A347">
        <v>346</v>
      </c>
      <c r="B347" s="1">
        <v>45432</v>
      </c>
      <c r="C347" t="s">
        <v>14</v>
      </c>
      <c r="D347" t="s">
        <v>15</v>
      </c>
      <c r="E347">
        <v>1228.23</v>
      </c>
      <c r="F347">
        <v>4</v>
      </c>
      <c r="G347">
        <v>0.01</v>
      </c>
      <c r="H347">
        <v>0.28999999999999998</v>
      </c>
      <c r="I347" t="s">
        <v>21</v>
      </c>
      <c r="J347" t="s">
        <v>233</v>
      </c>
      <c r="K347">
        <f t="shared" si="5"/>
        <v>4912.92</v>
      </c>
    </row>
    <row r="348" spans="1:11">
      <c r="A348">
        <v>347</v>
      </c>
      <c r="B348" s="1">
        <v>45300</v>
      </c>
      <c r="C348" t="s">
        <v>20</v>
      </c>
      <c r="D348" t="s">
        <v>15</v>
      </c>
      <c r="E348">
        <v>912.38</v>
      </c>
      <c r="F348">
        <v>5</v>
      </c>
      <c r="G348">
        <v>0.27</v>
      </c>
      <c r="H348">
        <v>0.17</v>
      </c>
      <c r="I348" t="s">
        <v>24</v>
      </c>
      <c r="J348" t="s">
        <v>40</v>
      </c>
      <c r="K348">
        <f t="shared" si="5"/>
        <v>4561.8999999999996</v>
      </c>
    </row>
    <row r="349" spans="1:11">
      <c r="A349">
        <v>348</v>
      </c>
      <c r="B349" s="1">
        <v>45443</v>
      </c>
      <c r="C349" t="s">
        <v>26</v>
      </c>
      <c r="D349" t="s">
        <v>11</v>
      </c>
      <c r="E349">
        <v>978.74</v>
      </c>
      <c r="F349">
        <v>2</v>
      </c>
      <c r="G349">
        <v>0.11</v>
      </c>
      <c r="H349">
        <v>0.37</v>
      </c>
      <c r="I349" t="s">
        <v>16</v>
      </c>
      <c r="J349" t="s">
        <v>43</v>
      </c>
      <c r="K349">
        <f t="shared" si="5"/>
        <v>1957.48</v>
      </c>
    </row>
    <row r="350" spans="1:11">
      <c r="A350">
        <v>349</v>
      </c>
      <c r="B350" s="1">
        <v>45443</v>
      </c>
      <c r="C350" t="s">
        <v>10</v>
      </c>
      <c r="D350" t="s">
        <v>11</v>
      </c>
      <c r="E350">
        <v>546.29999999999995</v>
      </c>
      <c r="F350">
        <v>2</v>
      </c>
      <c r="G350">
        <v>0.08</v>
      </c>
      <c r="H350">
        <v>0.19</v>
      </c>
      <c r="I350" t="s">
        <v>24</v>
      </c>
      <c r="J350" t="s">
        <v>33</v>
      </c>
      <c r="K350">
        <f t="shared" si="5"/>
        <v>1092.5999999999999</v>
      </c>
    </row>
    <row r="351" spans="1:11">
      <c r="A351">
        <v>350</v>
      </c>
      <c r="B351" s="1">
        <v>45455</v>
      </c>
      <c r="C351" t="s">
        <v>10</v>
      </c>
      <c r="D351" t="s">
        <v>11</v>
      </c>
      <c r="E351">
        <v>1238.3599999999999</v>
      </c>
      <c r="F351">
        <v>4</v>
      </c>
      <c r="G351">
        <v>0.2</v>
      </c>
      <c r="H351">
        <v>0.34</v>
      </c>
      <c r="I351" t="s">
        <v>12</v>
      </c>
      <c r="J351" t="s">
        <v>234</v>
      </c>
      <c r="K351">
        <f t="shared" si="5"/>
        <v>4953.4399999999996</v>
      </c>
    </row>
    <row r="352" spans="1:11">
      <c r="A352">
        <v>351</v>
      </c>
      <c r="B352" s="1">
        <v>45399</v>
      </c>
      <c r="C352" t="s">
        <v>23</v>
      </c>
      <c r="D352" t="s">
        <v>15</v>
      </c>
      <c r="E352">
        <v>245.81</v>
      </c>
      <c r="F352">
        <v>2</v>
      </c>
      <c r="G352">
        <v>0.05</v>
      </c>
      <c r="H352">
        <v>0.17</v>
      </c>
      <c r="I352" t="s">
        <v>24</v>
      </c>
      <c r="J352" t="s">
        <v>44</v>
      </c>
      <c r="K352">
        <f t="shared" si="5"/>
        <v>491.62</v>
      </c>
    </row>
    <row r="353" spans="1:11">
      <c r="A353">
        <v>352</v>
      </c>
      <c r="B353" s="1">
        <v>45434</v>
      </c>
      <c r="C353" t="s">
        <v>26</v>
      </c>
      <c r="D353" t="s">
        <v>11</v>
      </c>
      <c r="E353">
        <v>1297.6300000000001</v>
      </c>
      <c r="F353">
        <v>5</v>
      </c>
      <c r="G353">
        <v>0.03</v>
      </c>
      <c r="H353">
        <v>0.11</v>
      </c>
      <c r="I353" t="s">
        <v>21</v>
      </c>
      <c r="J353" t="s">
        <v>92</v>
      </c>
      <c r="K353">
        <f t="shared" si="5"/>
        <v>6488.1500000000005</v>
      </c>
    </row>
    <row r="354" spans="1:11">
      <c r="A354">
        <v>353</v>
      </c>
      <c r="B354" s="1">
        <v>45545</v>
      </c>
      <c r="C354" t="s">
        <v>10</v>
      </c>
      <c r="D354" t="s">
        <v>11</v>
      </c>
      <c r="E354">
        <v>364.61</v>
      </c>
      <c r="F354">
        <v>3</v>
      </c>
      <c r="G354">
        <v>7.0000000000000007E-2</v>
      </c>
      <c r="H354">
        <v>0.22</v>
      </c>
      <c r="I354" t="s">
        <v>21</v>
      </c>
      <c r="J354" t="s">
        <v>217</v>
      </c>
      <c r="K354">
        <f t="shared" si="5"/>
        <v>1093.83</v>
      </c>
    </row>
    <row r="355" spans="1:11">
      <c r="A355">
        <v>354</v>
      </c>
      <c r="B355" s="1">
        <v>45333</v>
      </c>
      <c r="C355" t="s">
        <v>26</v>
      </c>
      <c r="D355" t="s">
        <v>11</v>
      </c>
      <c r="E355">
        <v>234.12</v>
      </c>
      <c r="F355">
        <v>3</v>
      </c>
      <c r="G355">
        <v>0.18</v>
      </c>
      <c r="H355">
        <v>0.3</v>
      </c>
      <c r="I355" t="s">
        <v>16</v>
      </c>
      <c r="J355" t="s">
        <v>235</v>
      </c>
      <c r="K355">
        <f t="shared" si="5"/>
        <v>702.36</v>
      </c>
    </row>
    <row r="356" spans="1:11">
      <c r="A356">
        <v>355</v>
      </c>
      <c r="B356" s="1">
        <v>45479</v>
      </c>
      <c r="C356" t="s">
        <v>31</v>
      </c>
      <c r="D356" t="s">
        <v>11</v>
      </c>
      <c r="E356">
        <v>656.59</v>
      </c>
      <c r="F356">
        <v>1</v>
      </c>
      <c r="G356">
        <v>0.21</v>
      </c>
      <c r="H356">
        <v>0.4</v>
      </c>
      <c r="I356" t="s">
        <v>16</v>
      </c>
      <c r="J356" t="s">
        <v>236</v>
      </c>
      <c r="K356">
        <f t="shared" si="5"/>
        <v>656.59</v>
      </c>
    </row>
    <row r="357" spans="1:11">
      <c r="A357">
        <v>356</v>
      </c>
      <c r="B357" s="1">
        <v>45458</v>
      </c>
      <c r="C357" t="s">
        <v>23</v>
      </c>
      <c r="D357" t="s">
        <v>15</v>
      </c>
      <c r="E357">
        <v>1232.5899999999999</v>
      </c>
      <c r="F357">
        <v>4</v>
      </c>
      <c r="G357">
        <v>0.22</v>
      </c>
      <c r="H357">
        <v>0.27</v>
      </c>
      <c r="I357" t="s">
        <v>16</v>
      </c>
      <c r="J357" t="s">
        <v>237</v>
      </c>
      <c r="K357">
        <f t="shared" si="5"/>
        <v>4930.3599999999997</v>
      </c>
    </row>
    <row r="358" spans="1:11">
      <c r="A358">
        <v>357</v>
      </c>
      <c r="B358" s="1">
        <v>45364</v>
      </c>
      <c r="C358" t="s">
        <v>31</v>
      </c>
      <c r="D358" t="s">
        <v>11</v>
      </c>
      <c r="E358">
        <v>1164.6199999999999</v>
      </c>
      <c r="F358">
        <v>4</v>
      </c>
      <c r="G358">
        <v>0.03</v>
      </c>
      <c r="H358">
        <v>0.37</v>
      </c>
      <c r="I358" t="s">
        <v>12</v>
      </c>
      <c r="J358" t="s">
        <v>238</v>
      </c>
      <c r="K358">
        <f t="shared" si="5"/>
        <v>4658.4799999999996</v>
      </c>
    </row>
    <row r="359" spans="1:11">
      <c r="A359">
        <v>358</v>
      </c>
      <c r="B359" s="1">
        <v>45560</v>
      </c>
      <c r="C359" t="s">
        <v>23</v>
      </c>
      <c r="D359" t="s">
        <v>15</v>
      </c>
      <c r="E359">
        <v>501.97</v>
      </c>
      <c r="F359">
        <v>3</v>
      </c>
      <c r="G359">
        <v>0.1</v>
      </c>
      <c r="H359">
        <v>0.28999999999999998</v>
      </c>
      <c r="I359" t="s">
        <v>12</v>
      </c>
      <c r="J359" t="s">
        <v>239</v>
      </c>
      <c r="K359">
        <f t="shared" si="5"/>
        <v>1505.91</v>
      </c>
    </row>
    <row r="360" spans="1:11">
      <c r="A360">
        <v>359</v>
      </c>
      <c r="B360" s="1">
        <v>45451</v>
      </c>
      <c r="C360" t="s">
        <v>23</v>
      </c>
      <c r="D360" t="s">
        <v>15</v>
      </c>
      <c r="E360">
        <v>790.61</v>
      </c>
      <c r="F360">
        <v>2</v>
      </c>
      <c r="G360">
        <v>0.2</v>
      </c>
      <c r="H360">
        <v>0.12</v>
      </c>
      <c r="I360" t="s">
        <v>24</v>
      </c>
      <c r="J360" t="s">
        <v>22</v>
      </c>
      <c r="K360">
        <f t="shared" si="5"/>
        <v>1581.22</v>
      </c>
    </row>
    <row r="361" spans="1:11">
      <c r="A361">
        <v>360</v>
      </c>
      <c r="B361" s="1">
        <v>45349</v>
      </c>
      <c r="C361" t="s">
        <v>31</v>
      </c>
      <c r="D361" t="s">
        <v>11</v>
      </c>
      <c r="E361">
        <v>821.52</v>
      </c>
      <c r="F361">
        <v>2</v>
      </c>
      <c r="G361">
        <v>0.2</v>
      </c>
      <c r="H361">
        <v>0.17</v>
      </c>
      <c r="I361" t="s">
        <v>16</v>
      </c>
      <c r="J361" t="s">
        <v>106</v>
      </c>
      <c r="K361">
        <f t="shared" si="5"/>
        <v>1643.04</v>
      </c>
    </row>
    <row r="362" spans="1:11">
      <c r="A362">
        <v>361</v>
      </c>
      <c r="B362" s="1">
        <v>45500</v>
      </c>
      <c r="C362" t="s">
        <v>20</v>
      </c>
      <c r="D362" t="s">
        <v>15</v>
      </c>
      <c r="E362">
        <v>516.17999999999995</v>
      </c>
      <c r="F362">
        <v>2</v>
      </c>
      <c r="G362">
        <v>0.3</v>
      </c>
      <c r="H362">
        <v>0.3</v>
      </c>
      <c r="I362" t="s">
        <v>21</v>
      </c>
      <c r="J362" t="s">
        <v>239</v>
      </c>
      <c r="K362">
        <f t="shared" si="5"/>
        <v>1032.3599999999999</v>
      </c>
    </row>
    <row r="363" spans="1:11">
      <c r="A363">
        <v>362</v>
      </c>
      <c r="B363" s="1">
        <v>45327</v>
      </c>
      <c r="C363" t="s">
        <v>20</v>
      </c>
      <c r="D363" t="s">
        <v>15</v>
      </c>
      <c r="E363">
        <v>1493.33</v>
      </c>
      <c r="F363">
        <v>4</v>
      </c>
      <c r="G363">
        <v>0.02</v>
      </c>
      <c r="H363">
        <v>0.27</v>
      </c>
      <c r="I363" t="s">
        <v>24</v>
      </c>
      <c r="J363" t="s">
        <v>143</v>
      </c>
      <c r="K363">
        <f t="shared" si="5"/>
        <v>5973.32</v>
      </c>
    </row>
    <row r="364" spans="1:11">
      <c r="A364">
        <v>363</v>
      </c>
      <c r="B364" s="1">
        <v>45499</v>
      </c>
      <c r="C364" t="s">
        <v>10</v>
      </c>
      <c r="D364" t="s">
        <v>11</v>
      </c>
      <c r="E364">
        <v>1443.46</v>
      </c>
      <c r="F364">
        <v>5</v>
      </c>
      <c r="G364">
        <v>0.21</v>
      </c>
      <c r="H364">
        <v>0.16</v>
      </c>
      <c r="I364" t="s">
        <v>24</v>
      </c>
      <c r="J364" t="s">
        <v>33</v>
      </c>
      <c r="K364">
        <f t="shared" si="5"/>
        <v>7217.3</v>
      </c>
    </row>
    <row r="365" spans="1:11">
      <c r="A365">
        <v>364</v>
      </c>
      <c r="B365" s="1">
        <v>45427</v>
      </c>
      <c r="C365" t="s">
        <v>20</v>
      </c>
      <c r="D365" t="s">
        <v>15</v>
      </c>
      <c r="E365">
        <v>628.98</v>
      </c>
      <c r="F365">
        <v>1</v>
      </c>
      <c r="G365">
        <v>0.25</v>
      </c>
      <c r="H365">
        <v>0.1</v>
      </c>
      <c r="I365" t="s">
        <v>21</v>
      </c>
      <c r="J365" t="s">
        <v>133</v>
      </c>
      <c r="K365">
        <f t="shared" si="5"/>
        <v>628.98</v>
      </c>
    </row>
    <row r="366" spans="1:11">
      <c r="A366">
        <v>365</v>
      </c>
      <c r="B366" s="1">
        <v>45409</v>
      </c>
      <c r="C366" t="s">
        <v>26</v>
      </c>
      <c r="D366" t="s">
        <v>11</v>
      </c>
      <c r="E366">
        <v>1198.29</v>
      </c>
      <c r="F366">
        <v>5</v>
      </c>
      <c r="G366">
        <v>0.04</v>
      </c>
      <c r="H366">
        <v>0.39</v>
      </c>
      <c r="I366" t="s">
        <v>21</v>
      </c>
      <c r="J366" t="s">
        <v>240</v>
      </c>
      <c r="K366">
        <f t="shared" si="5"/>
        <v>5991.45</v>
      </c>
    </row>
    <row r="367" spans="1:11">
      <c r="A367">
        <v>366</v>
      </c>
      <c r="B367" s="1">
        <v>45375</v>
      </c>
      <c r="C367" t="s">
        <v>14</v>
      </c>
      <c r="D367" t="s">
        <v>15</v>
      </c>
      <c r="E367">
        <v>1488.91</v>
      </c>
      <c r="F367">
        <v>4</v>
      </c>
      <c r="G367">
        <v>7.0000000000000007E-2</v>
      </c>
      <c r="H367">
        <v>0.3</v>
      </c>
      <c r="I367" t="s">
        <v>12</v>
      </c>
      <c r="J367" t="s">
        <v>90</v>
      </c>
      <c r="K367">
        <f t="shared" si="5"/>
        <v>5955.64</v>
      </c>
    </row>
    <row r="368" spans="1:11">
      <c r="A368">
        <v>367</v>
      </c>
      <c r="B368" s="1">
        <v>45563</v>
      </c>
      <c r="C368" t="s">
        <v>23</v>
      </c>
      <c r="D368" t="s">
        <v>15</v>
      </c>
      <c r="E368">
        <v>944.79</v>
      </c>
      <c r="F368">
        <v>2</v>
      </c>
      <c r="G368">
        <v>0.24</v>
      </c>
      <c r="H368">
        <v>0.36</v>
      </c>
      <c r="I368" t="s">
        <v>24</v>
      </c>
      <c r="J368" t="s">
        <v>241</v>
      </c>
      <c r="K368">
        <f t="shared" si="5"/>
        <v>1889.58</v>
      </c>
    </row>
    <row r="369" spans="1:11">
      <c r="A369">
        <v>368</v>
      </c>
      <c r="B369" s="1">
        <v>45442</v>
      </c>
      <c r="C369" t="s">
        <v>14</v>
      </c>
      <c r="D369" t="s">
        <v>15</v>
      </c>
      <c r="E369">
        <v>772.59</v>
      </c>
      <c r="F369">
        <v>4</v>
      </c>
      <c r="G369">
        <v>0.21</v>
      </c>
      <c r="H369">
        <v>0.11</v>
      </c>
      <c r="I369" t="s">
        <v>24</v>
      </c>
      <c r="J369" t="s">
        <v>222</v>
      </c>
      <c r="K369">
        <f t="shared" si="5"/>
        <v>3090.36</v>
      </c>
    </row>
    <row r="370" spans="1:11">
      <c r="A370">
        <v>369</v>
      </c>
      <c r="B370" s="1">
        <v>45540</v>
      </c>
      <c r="C370" t="s">
        <v>14</v>
      </c>
      <c r="D370" t="s">
        <v>15</v>
      </c>
      <c r="E370">
        <v>413.09</v>
      </c>
      <c r="F370">
        <v>2</v>
      </c>
      <c r="G370">
        <v>0.11</v>
      </c>
      <c r="H370">
        <v>0.2</v>
      </c>
      <c r="I370" t="s">
        <v>21</v>
      </c>
      <c r="J370" t="s">
        <v>227</v>
      </c>
      <c r="K370">
        <f t="shared" si="5"/>
        <v>826.18</v>
      </c>
    </row>
    <row r="371" spans="1:11">
      <c r="A371">
        <v>370</v>
      </c>
      <c r="B371" s="1">
        <v>45445</v>
      </c>
      <c r="C371" t="s">
        <v>20</v>
      </c>
      <c r="D371" t="s">
        <v>15</v>
      </c>
      <c r="E371">
        <v>841.86</v>
      </c>
      <c r="F371">
        <v>3</v>
      </c>
      <c r="G371">
        <v>0.25</v>
      </c>
      <c r="H371">
        <v>0.18</v>
      </c>
      <c r="I371" t="s">
        <v>12</v>
      </c>
      <c r="J371" t="s">
        <v>79</v>
      </c>
      <c r="K371">
        <f t="shared" si="5"/>
        <v>2525.58</v>
      </c>
    </row>
    <row r="372" spans="1:11">
      <c r="A372">
        <v>371</v>
      </c>
      <c r="B372" s="1">
        <v>45607</v>
      </c>
      <c r="C372" t="s">
        <v>31</v>
      </c>
      <c r="D372" t="s">
        <v>11</v>
      </c>
      <c r="E372">
        <v>910.88</v>
      </c>
      <c r="F372">
        <v>3</v>
      </c>
      <c r="G372">
        <v>0.24</v>
      </c>
      <c r="H372">
        <v>0.27</v>
      </c>
      <c r="I372" t="s">
        <v>21</v>
      </c>
      <c r="J372" t="s">
        <v>124</v>
      </c>
      <c r="K372">
        <f t="shared" si="5"/>
        <v>2732.64</v>
      </c>
    </row>
    <row r="373" spans="1:11">
      <c r="A373">
        <v>372</v>
      </c>
      <c r="B373" s="1">
        <v>45457</v>
      </c>
      <c r="C373" t="s">
        <v>23</v>
      </c>
      <c r="D373" t="s">
        <v>15</v>
      </c>
      <c r="E373">
        <v>1280.8499999999999</v>
      </c>
      <c r="F373">
        <v>2</v>
      </c>
      <c r="G373">
        <v>0.15</v>
      </c>
      <c r="H373">
        <v>0.22</v>
      </c>
      <c r="I373" t="s">
        <v>24</v>
      </c>
      <c r="J373" t="s">
        <v>94</v>
      </c>
      <c r="K373">
        <f t="shared" si="5"/>
        <v>2561.6999999999998</v>
      </c>
    </row>
    <row r="374" spans="1:11">
      <c r="A374">
        <v>373</v>
      </c>
      <c r="B374" s="1">
        <v>45425</v>
      </c>
      <c r="C374" t="s">
        <v>26</v>
      </c>
      <c r="D374" t="s">
        <v>11</v>
      </c>
      <c r="E374">
        <v>1230.74</v>
      </c>
      <c r="F374">
        <v>3</v>
      </c>
      <c r="G374">
        <v>0.2</v>
      </c>
      <c r="H374">
        <v>0.26</v>
      </c>
      <c r="I374" t="s">
        <v>12</v>
      </c>
      <c r="J374" t="s">
        <v>242</v>
      </c>
      <c r="K374">
        <f t="shared" si="5"/>
        <v>3692.2200000000003</v>
      </c>
    </row>
    <row r="375" spans="1:11">
      <c r="A375">
        <v>374</v>
      </c>
      <c r="B375" s="1">
        <v>45454</v>
      </c>
      <c r="C375" t="s">
        <v>10</v>
      </c>
      <c r="D375" t="s">
        <v>11</v>
      </c>
      <c r="E375">
        <v>233.39</v>
      </c>
      <c r="F375">
        <v>4</v>
      </c>
      <c r="G375">
        <v>0.25</v>
      </c>
      <c r="H375">
        <v>0.2</v>
      </c>
      <c r="I375" t="s">
        <v>16</v>
      </c>
      <c r="J375" t="s">
        <v>73</v>
      </c>
      <c r="K375">
        <f t="shared" si="5"/>
        <v>933.56</v>
      </c>
    </row>
    <row r="376" spans="1:11">
      <c r="A376">
        <v>375</v>
      </c>
      <c r="B376" s="1">
        <v>45547</v>
      </c>
      <c r="C376" t="s">
        <v>26</v>
      </c>
      <c r="D376" t="s">
        <v>11</v>
      </c>
      <c r="E376">
        <v>280.95</v>
      </c>
      <c r="F376">
        <v>2</v>
      </c>
      <c r="G376">
        <v>7.0000000000000007E-2</v>
      </c>
      <c r="H376">
        <v>0.39</v>
      </c>
      <c r="I376" t="s">
        <v>21</v>
      </c>
      <c r="J376" t="s">
        <v>123</v>
      </c>
      <c r="K376">
        <f t="shared" si="5"/>
        <v>561.9</v>
      </c>
    </row>
    <row r="377" spans="1:11">
      <c r="A377">
        <v>376</v>
      </c>
      <c r="B377" s="1">
        <v>45455</v>
      </c>
      <c r="C377" t="s">
        <v>20</v>
      </c>
      <c r="D377" t="s">
        <v>15</v>
      </c>
      <c r="E377">
        <v>1400.78</v>
      </c>
      <c r="F377">
        <v>2</v>
      </c>
      <c r="G377">
        <v>0.04</v>
      </c>
      <c r="H377">
        <v>0.36</v>
      </c>
      <c r="I377" t="s">
        <v>16</v>
      </c>
      <c r="J377" t="s">
        <v>165</v>
      </c>
      <c r="K377">
        <f t="shared" si="5"/>
        <v>2801.56</v>
      </c>
    </row>
    <row r="378" spans="1:11">
      <c r="A378">
        <v>377</v>
      </c>
      <c r="B378" s="1">
        <v>45316</v>
      </c>
      <c r="C378" t="s">
        <v>14</v>
      </c>
      <c r="D378" t="s">
        <v>15</v>
      </c>
      <c r="E378">
        <v>919.4</v>
      </c>
      <c r="F378">
        <v>1</v>
      </c>
      <c r="G378">
        <v>0.18</v>
      </c>
      <c r="H378">
        <v>0.33</v>
      </c>
      <c r="I378" t="s">
        <v>12</v>
      </c>
      <c r="J378" t="s">
        <v>243</v>
      </c>
      <c r="K378">
        <f t="shared" si="5"/>
        <v>919.4</v>
      </c>
    </row>
    <row r="379" spans="1:11">
      <c r="A379">
        <v>378</v>
      </c>
      <c r="B379" s="1">
        <v>45316</v>
      </c>
      <c r="C379" t="s">
        <v>14</v>
      </c>
      <c r="D379" t="s">
        <v>15</v>
      </c>
      <c r="E379">
        <v>1007.8</v>
      </c>
      <c r="F379">
        <v>2</v>
      </c>
      <c r="G379">
        <v>0.02</v>
      </c>
      <c r="H379">
        <v>0.11</v>
      </c>
      <c r="I379" t="s">
        <v>24</v>
      </c>
      <c r="J379" t="s">
        <v>48</v>
      </c>
      <c r="K379">
        <f t="shared" si="5"/>
        <v>2015.6</v>
      </c>
    </row>
    <row r="380" spans="1:11">
      <c r="A380">
        <v>379</v>
      </c>
      <c r="B380" s="1">
        <v>45387</v>
      </c>
      <c r="C380" t="s">
        <v>31</v>
      </c>
      <c r="D380" t="s">
        <v>11</v>
      </c>
      <c r="E380">
        <v>368.01</v>
      </c>
      <c r="F380">
        <v>5</v>
      </c>
      <c r="G380">
        <v>0.16</v>
      </c>
      <c r="H380">
        <v>0.39</v>
      </c>
      <c r="I380" t="s">
        <v>16</v>
      </c>
      <c r="J380" t="s">
        <v>244</v>
      </c>
      <c r="K380">
        <f t="shared" si="5"/>
        <v>1840.05</v>
      </c>
    </row>
    <row r="381" spans="1:11">
      <c r="A381">
        <v>380</v>
      </c>
      <c r="B381" s="1">
        <v>45451</v>
      </c>
      <c r="C381" t="s">
        <v>31</v>
      </c>
      <c r="D381" t="s">
        <v>11</v>
      </c>
      <c r="E381">
        <v>901.58</v>
      </c>
      <c r="F381">
        <v>4</v>
      </c>
      <c r="G381">
        <v>0.13</v>
      </c>
      <c r="H381">
        <v>0.13</v>
      </c>
      <c r="I381" t="s">
        <v>16</v>
      </c>
      <c r="J381" t="s">
        <v>50</v>
      </c>
      <c r="K381">
        <f t="shared" si="5"/>
        <v>3606.32</v>
      </c>
    </row>
    <row r="382" spans="1:11">
      <c r="A382">
        <v>381</v>
      </c>
      <c r="B382" s="1">
        <v>45296</v>
      </c>
      <c r="C382" t="s">
        <v>23</v>
      </c>
      <c r="D382" t="s">
        <v>15</v>
      </c>
      <c r="E382">
        <v>343.66</v>
      </c>
      <c r="F382">
        <v>2</v>
      </c>
      <c r="G382">
        <v>0.2</v>
      </c>
      <c r="H382">
        <v>0.15</v>
      </c>
      <c r="I382" t="s">
        <v>16</v>
      </c>
      <c r="J382" t="s">
        <v>245</v>
      </c>
      <c r="K382">
        <f t="shared" si="5"/>
        <v>687.32</v>
      </c>
    </row>
    <row r="383" spans="1:11">
      <c r="A383">
        <v>382</v>
      </c>
      <c r="B383" s="1">
        <v>45469</v>
      </c>
      <c r="C383" t="s">
        <v>10</v>
      </c>
      <c r="D383" t="s">
        <v>11</v>
      </c>
      <c r="E383">
        <v>1176.6199999999999</v>
      </c>
      <c r="F383">
        <v>2</v>
      </c>
      <c r="G383">
        <v>0.06</v>
      </c>
      <c r="H383">
        <v>0.25</v>
      </c>
      <c r="I383" t="s">
        <v>16</v>
      </c>
      <c r="J383" t="s">
        <v>103</v>
      </c>
      <c r="K383">
        <f t="shared" si="5"/>
        <v>2353.2399999999998</v>
      </c>
    </row>
    <row r="384" spans="1:11">
      <c r="A384">
        <v>383</v>
      </c>
      <c r="B384" s="1">
        <v>45440</v>
      </c>
      <c r="C384" t="s">
        <v>23</v>
      </c>
      <c r="D384" t="s">
        <v>15</v>
      </c>
      <c r="E384">
        <v>110.23</v>
      </c>
      <c r="F384">
        <v>1</v>
      </c>
      <c r="G384">
        <v>0.13</v>
      </c>
      <c r="H384">
        <v>0.15</v>
      </c>
      <c r="I384" t="s">
        <v>24</v>
      </c>
      <c r="J384" t="s">
        <v>55</v>
      </c>
      <c r="K384">
        <f t="shared" si="5"/>
        <v>110.23</v>
      </c>
    </row>
    <row r="385" spans="1:11">
      <c r="A385">
        <v>384</v>
      </c>
      <c r="B385" s="1">
        <v>45388</v>
      </c>
      <c r="C385" t="s">
        <v>23</v>
      </c>
      <c r="D385" t="s">
        <v>15</v>
      </c>
      <c r="E385">
        <v>204.04</v>
      </c>
      <c r="F385">
        <v>3</v>
      </c>
      <c r="G385">
        <v>0.05</v>
      </c>
      <c r="H385">
        <v>0.31</v>
      </c>
      <c r="I385" t="s">
        <v>12</v>
      </c>
      <c r="J385" t="s">
        <v>223</v>
      </c>
      <c r="K385">
        <f t="shared" si="5"/>
        <v>612.12</v>
      </c>
    </row>
    <row r="386" spans="1:11">
      <c r="A386">
        <v>385</v>
      </c>
      <c r="B386" s="1">
        <v>45512</v>
      </c>
      <c r="C386" t="s">
        <v>20</v>
      </c>
      <c r="D386" t="s">
        <v>15</v>
      </c>
      <c r="E386">
        <v>776.4</v>
      </c>
      <c r="F386">
        <v>1</v>
      </c>
      <c r="G386">
        <v>7.0000000000000007E-2</v>
      </c>
      <c r="H386">
        <v>0.17</v>
      </c>
      <c r="I386" t="s">
        <v>24</v>
      </c>
      <c r="J386" t="s">
        <v>82</v>
      </c>
      <c r="K386">
        <f t="shared" si="5"/>
        <v>776.4</v>
      </c>
    </row>
    <row r="387" spans="1:11">
      <c r="A387">
        <v>386</v>
      </c>
      <c r="B387" s="1">
        <v>45407</v>
      </c>
      <c r="C387" t="s">
        <v>14</v>
      </c>
      <c r="D387" t="s">
        <v>15</v>
      </c>
      <c r="E387">
        <v>945.25</v>
      </c>
      <c r="F387">
        <v>4</v>
      </c>
      <c r="G387">
        <v>0.25</v>
      </c>
      <c r="H387">
        <v>0.32</v>
      </c>
      <c r="I387" t="s">
        <v>24</v>
      </c>
      <c r="J387" t="s">
        <v>145</v>
      </c>
      <c r="K387">
        <f t="shared" si="5"/>
        <v>3781</v>
      </c>
    </row>
    <row r="388" spans="1:11">
      <c r="A388">
        <v>387</v>
      </c>
      <c r="B388" s="1">
        <v>45305</v>
      </c>
      <c r="C388" t="s">
        <v>20</v>
      </c>
      <c r="D388" t="s">
        <v>15</v>
      </c>
      <c r="E388">
        <v>622.08000000000004</v>
      </c>
      <c r="F388">
        <v>5</v>
      </c>
      <c r="G388">
        <v>0.11</v>
      </c>
      <c r="H388">
        <v>0.26</v>
      </c>
      <c r="I388" t="s">
        <v>24</v>
      </c>
      <c r="J388" t="s">
        <v>74</v>
      </c>
      <c r="K388">
        <f t="shared" ref="K388:K451" si="6">E388*F388</f>
        <v>3110.4</v>
      </c>
    </row>
    <row r="389" spans="1:11">
      <c r="A389">
        <v>388</v>
      </c>
      <c r="B389" s="1">
        <v>45353</v>
      </c>
      <c r="C389" t="s">
        <v>14</v>
      </c>
      <c r="D389" t="s">
        <v>15</v>
      </c>
      <c r="E389">
        <v>285.91000000000003</v>
      </c>
      <c r="F389">
        <v>5</v>
      </c>
      <c r="G389">
        <v>0.23</v>
      </c>
      <c r="H389">
        <v>0.1</v>
      </c>
      <c r="I389" t="s">
        <v>16</v>
      </c>
      <c r="J389" t="s">
        <v>109</v>
      </c>
      <c r="K389">
        <f t="shared" si="6"/>
        <v>1429.5500000000002</v>
      </c>
    </row>
    <row r="390" spans="1:11">
      <c r="A390">
        <v>389</v>
      </c>
      <c r="B390" s="1">
        <v>45356</v>
      </c>
      <c r="C390" t="s">
        <v>14</v>
      </c>
      <c r="D390" t="s">
        <v>15</v>
      </c>
      <c r="E390">
        <v>734.98</v>
      </c>
      <c r="F390">
        <v>5</v>
      </c>
      <c r="G390">
        <v>0.23</v>
      </c>
      <c r="H390">
        <v>0.14000000000000001</v>
      </c>
      <c r="I390" t="s">
        <v>12</v>
      </c>
      <c r="J390" t="s">
        <v>32</v>
      </c>
      <c r="K390">
        <f t="shared" si="6"/>
        <v>3674.9</v>
      </c>
    </row>
    <row r="391" spans="1:11">
      <c r="A391">
        <v>390</v>
      </c>
      <c r="B391" s="1">
        <v>45629</v>
      </c>
      <c r="C391" t="s">
        <v>10</v>
      </c>
      <c r="D391" t="s">
        <v>11</v>
      </c>
      <c r="E391">
        <v>502.16</v>
      </c>
      <c r="F391">
        <v>2</v>
      </c>
      <c r="G391">
        <v>7.0000000000000007E-2</v>
      </c>
      <c r="H391">
        <v>0.39</v>
      </c>
      <c r="I391" t="s">
        <v>24</v>
      </c>
      <c r="J391" t="s">
        <v>101</v>
      </c>
      <c r="K391">
        <f t="shared" si="6"/>
        <v>1004.32</v>
      </c>
    </row>
    <row r="392" spans="1:11">
      <c r="A392">
        <v>391</v>
      </c>
      <c r="B392" s="1">
        <v>45482</v>
      </c>
      <c r="C392" t="s">
        <v>31</v>
      </c>
      <c r="D392" t="s">
        <v>11</v>
      </c>
      <c r="E392">
        <v>120.31</v>
      </c>
      <c r="F392">
        <v>4</v>
      </c>
      <c r="G392">
        <v>0.11</v>
      </c>
      <c r="H392">
        <v>0.18</v>
      </c>
      <c r="I392" t="s">
        <v>21</v>
      </c>
      <c r="J392" t="s">
        <v>107</v>
      </c>
      <c r="K392">
        <f t="shared" si="6"/>
        <v>481.24</v>
      </c>
    </row>
    <row r="393" spans="1:11">
      <c r="A393">
        <v>392</v>
      </c>
      <c r="B393" s="1">
        <v>45343</v>
      </c>
      <c r="C393" t="s">
        <v>14</v>
      </c>
      <c r="D393" t="s">
        <v>15</v>
      </c>
      <c r="E393">
        <v>761.52</v>
      </c>
      <c r="F393">
        <v>5</v>
      </c>
      <c r="G393">
        <v>0.15</v>
      </c>
      <c r="H393">
        <v>0.15</v>
      </c>
      <c r="I393" t="s">
        <v>21</v>
      </c>
      <c r="J393" t="s">
        <v>241</v>
      </c>
      <c r="K393">
        <f t="shared" si="6"/>
        <v>3807.6</v>
      </c>
    </row>
    <row r="394" spans="1:11">
      <c r="A394">
        <v>393</v>
      </c>
      <c r="B394" s="1">
        <v>45333</v>
      </c>
      <c r="C394" t="s">
        <v>20</v>
      </c>
      <c r="D394" t="s">
        <v>15</v>
      </c>
      <c r="E394">
        <v>384.13</v>
      </c>
      <c r="F394">
        <v>2</v>
      </c>
      <c r="G394">
        <v>0.14000000000000001</v>
      </c>
      <c r="H394">
        <v>0.21</v>
      </c>
      <c r="I394" t="s">
        <v>12</v>
      </c>
      <c r="J394" t="s">
        <v>58</v>
      </c>
      <c r="K394">
        <f t="shared" si="6"/>
        <v>768.26</v>
      </c>
    </row>
    <row r="395" spans="1:11">
      <c r="A395">
        <v>394</v>
      </c>
      <c r="B395" s="1">
        <v>45411</v>
      </c>
      <c r="C395" t="s">
        <v>20</v>
      </c>
      <c r="D395" t="s">
        <v>15</v>
      </c>
      <c r="E395">
        <v>1182.9000000000001</v>
      </c>
      <c r="F395">
        <v>5</v>
      </c>
      <c r="G395">
        <v>0.04</v>
      </c>
      <c r="H395">
        <v>0.13</v>
      </c>
      <c r="I395" t="s">
        <v>16</v>
      </c>
      <c r="J395" t="s">
        <v>104</v>
      </c>
      <c r="K395">
        <f t="shared" si="6"/>
        <v>5914.5</v>
      </c>
    </row>
    <row r="396" spans="1:11">
      <c r="A396">
        <v>395</v>
      </c>
      <c r="B396" s="1">
        <v>45388</v>
      </c>
      <c r="C396" t="s">
        <v>14</v>
      </c>
      <c r="D396" t="s">
        <v>15</v>
      </c>
      <c r="E396">
        <v>490.23</v>
      </c>
      <c r="F396">
        <v>1</v>
      </c>
      <c r="G396">
        <v>0.24</v>
      </c>
      <c r="H396">
        <v>0.12</v>
      </c>
      <c r="I396" t="s">
        <v>16</v>
      </c>
      <c r="J396" t="s">
        <v>122</v>
      </c>
      <c r="K396">
        <f t="shared" si="6"/>
        <v>490.23</v>
      </c>
    </row>
    <row r="397" spans="1:11">
      <c r="A397">
        <v>396</v>
      </c>
      <c r="B397" s="1">
        <v>45575</v>
      </c>
      <c r="C397" t="s">
        <v>23</v>
      </c>
      <c r="D397" t="s">
        <v>15</v>
      </c>
      <c r="E397">
        <v>1265.29</v>
      </c>
      <c r="F397">
        <v>2</v>
      </c>
      <c r="G397">
        <v>0.08</v>
      </c>
      <c r="H397">
        <v>0.33</v>
      </c>
      <c r="I397" t="s">
        <v>16</v>
      </c>
      <c r="J397" t="s">
        <v>200</v>
      </c>
      <c r="K397">
        <f t="shared" si="6"/>
        <v>2530.58</v>
      </c>
    </row>
    <row r="398" spans="1:11">
      <c r="A398">
        <v>397</v>
      </c>
      <c r="B398" s="1">
        <v>45370</v>
      </c>
      <c r="C398" t="s">
        <v>23</v>
      </c>
      <c r="D398" t="s">
        <v>15</v>
      </c>
      <c r="E398">
        <v>964.87</v>
      </c>
      <c r="F398">
        <v>2</v>
      </c>
      <c r="G398">
        <v>0.12</v>
      </c>
      <c r="H398">
        <v>0.24</v>
      </c>
      <c r="I398" t="s">
        <v>16</v>
      </c>
      <c r="J398" t="s">
        <v>142</v>
      </c>
      <c r="K398">
        <f t="shared" si="6"/>
        <v>1929.74</v>
      </c>
    </row>
    <row r="399" spans="1:11">
      <c r="A399">
        <v>398</v>
      </c>
      <c r="B399" s="1">
        <v>45378</v>
      </c>
      <c r="C399" t="s">
        <v>26</v>
      </c>
      <c r="D399" t="s">
        <v>11</v>
      </c>
      <c r="E399">
        <v>1336.85</v>
      </c>
      <c r="F399">
        <v>5</v>
      </c>
      <c r="G399">
        <v>0.05</v>
      </c>
      <c r="H399">
        <v>0.32</v>
      </c>
      <c r="I399" t="s">
        <v>12</v>
      </c>
      <c r="J399" t="s">
        <v>120</v>
      </c>
      <c r="K399">
        <f t="shared" si="6"/>
        <v>6684.25</v>
      </c>
    </row>
    <row r="400" spans="1:11">
      <c r="A400">
        <v>399</v>
      </c>
      <c r="B400" s="1">
        <v>45400</v>
      </c>
      <c r="C400" t="s">
        <v>26</v>
      </c>
      <c r="D400" t="s">
        <v>11</v>
      </c>
      <c r="E400">
        <v>1028.3399999999999</v>
      </c>
      <c r="F400">
        <v>5</v>
      </c>
      <c r="G400">
        <v>0.01</v>
      </c>
      <c r="H400">
        <v>0.32</v>
      </c>
      <c r="I400" t="s">
        <v>24</v>
      </c>
      <c r="J400" t="s">
        <v>246</v>
      </c>
      <c r="K400">
        <f t="shared" si="6"/>
        <v>5141.7</v>
      </c>
    </row>
    <row r="401" spans="1:11">
      <c r="A401">
        <v>400</v>
      </c>
      <c r="B401" s="1">
        <v>45568</v>
      </c>
      <c r="C401" t="s">
        <v>20</v>
      </c>
      <c r="D401" t="s">
        <v>15</v>
      </c>
      <c r="E401">
        <v>1208.1400000000001</v>
      </c>
      <c r="F401">
        <v>3</v>
      </c>
      <c r="G401">
        <v>0</v>
      </c>
      <c r="H401">
        <v>0.39</v>
      </c>
      <c r="I401" t="s">
        <v>24</v>
      </c>
      <c r="J401" t="s">
        <v>71</v>
      </c>
      <c r="K401">
        <f t="shared" si="6"/>
        <v>3624.42</v>
      </c>
    </row>
    <row r="402" spans="1:11">
      <c r="A402">
        <v>401</v>
      </c>
      <c r="B402" s="1">
        <v>45319</v>
      </c>
      <c r="C402" t="s">
        <v>14</v>
      </c>
      <c r="D402" t="s">
        <v>15</v>
      </c>
      <c r="E402">
        <v>596.70000000000005</v>
      </c>
      <c r="F402">
        <v>4</v>
      </c>
      <c r="G402">
        <v>0.1</v>
      </c>
      <c r="H402">
        <v>0.33</v>
      </c>
      <c r="I402" t="s">
        <v>12</v>
      </c>
      <c r="J402" t="s">
        <v>208</v>
      </c>
      <c r="K402">
        <f t="shared" si="6"/>
        <v>2386.8000000000002</v>
      </c>
    </row>
    <row r="403" spans="1:11">
      <c r="A403">
        <v>402</v>
      </c>
      <c r="B403" s="1">
        <v>45643</v>
      </c>
      <c r="C403" t="s">
        <v>26</v>
      </c>
      <c r="D403" t="s">
        <v>11</v>
      </c>
      <c r="E403">
        <v>548.39</v>
      </c>
      <c r="F403">
        <v>2</v>
      </c>
      <c r="G403">
        <v>0.03</v>
      </c>
      <c r="H403">
        <v>0.3</v>
      </c>
      <c r="I403" t="s">
        <v>16</v>
      </c>
      <c r="J403" t="s">
        <v>177</v>
      </c>
      <c r="K403">
        <f t="shared" si="6"/>
        <v>1096.78</v>
      </c>
    </row>
    <row r="404" spans="1:11">
      <c r="A404">
        <v>403</v>
      </c>
      <c r="B404" s="1">
        <v>45511</v>
      </c>
      <c r="C404" t="s">
        <v>14</v>
      </c>
      <c r="D404" t="s">
        <v>15</v>
      </c>
      <c r="E404">
        <v>126.35</v>
      </c>
      <c r="F404">
        <v>2</v>
      </c>
      <c r="G404">
        <v>0.01</v>
      </c>
      <c r="H404">
        <v>0.12</v>
      </c>
      <c r="I404" t="s">
        <v>24</v>
      </c>
      <c r="J404" t="s">
        <v>188</v>
      </c>
      <c r="K404">
        <f t="shared" si="6"/>
        <v>252.7</v>
      </c>
    </row>
    <row r="405" spans="1:11">
      <c r="A405">
        <v>404</v>
      </c>
      <c r="B405" s="1">
        <v>45340</v>
      </c>
      <c r="C405" t="s">
        <v>31</v>
      </c>
      <c r="D405" t="s">
        <v>11</v>
      </c>
      <c r="E405">
        <v>1350.88</v>
      </c>
      <c r="F405">
        <v>1</v>
      </c>
      <c r="G405">
        <v>0.28999999999999998</v>
      </c>
      <c r="H405">
        <v>0.3</v>
      </c>
      <c r="I405" t="s">
        <v>21</v>
      </c>
      <c r="J405" t="s">
        <v>112</v>
      </c>
      <c r="K405">
        <f t="shared" si="6"/>
        <v>1350.88</v>
      </c>
    </row>
    <row r="406" spans="1:11">
      <c r="A406">
        <v>405</v>
      </c>
      <c r="B406" s="1">
        <v>45410</v>
      </c>
      <c r="C406" t="s">
        <v>31</v>
      </c>
      <c r="D406" t="s">
        <v>11</v>
      </c>
      <c r="E406">
        <v>401.73</v>
      </c>
      <c r="F406">
        <v>4</v>
      </c>
      <c r="G406">
        <v>0.23</v>
      </c>
      <c r="H406">
        <v>0.28999999999999998</v>
      </c>
      <c r="I406" t="s">
        <v>24</v>
      </c>
      <c r="J406" t="s">
        <v>211</v>
      </c>
      <c r="K406">
        <f t="shared" si="6"/>
        <v>1606.92</v>
      </c>
    </row>
    <row r="407" spans="1:11">
      <c r="A407">
        <v>406</v>
      </c>
      <c r="B407" s="1">
        <v>45638</v>
      </c>
      <c r="C407" t="s">
        <v>14</v>
      </c>
      <c r="D407" t="s">
        <v>15</v>
      </c>
      <c r="E407">
        <v>86.88</v>
      </c>
      <c r="F407">
        <v>2</v>
      </c>
      <c r="G407">
        <v>0.1</v>
      </c>
      <c r="H407">
        <v>0.14000000000000001</v>
      </c>
      <c r="I407" t="s">
        <v>16</v>
      </c>
      <c r="J407" t="s">
        <v>247</v>
      </c>
      <c r="K407">
        <f t="shared" si="6"/>
        <v>173.76</v>
      </c>
    </row>
    <row r="408" spans="1:11">
      <c r="A408">
        <v>407</v>
      </c>
      <c r="B408" s="1">
        <v>45579</v>
      </c>
      <c r="C408" t="s">
        <v>14</v>
      </c>
      <c r="D408" t="s">
        <v>15</v>
      </c>
      <c r="E408">
        <v>1470.46</v>
      </c>
      <c r="F408">
        <v>5</v>
      </c>
      <c r="G408">
        <v>0.17</v>
      </c>
      <c r="H408">
        <v>0.32</v>
      </c>
      <c r="I408" t="s">
        <v>16</v>
      </c>
      <c r="J408" t="s">
        <v>109</v>
      </c>
      <c r="K408">
        <f t="shared" si="6"/>
        <v>7352.3</v>
      </c>
    </row>
    <row r="409" spans="1:11">
      <c r="A409">
        <v>408</v>
      </c>
      <c r="B409" s="1">
        <v>45474</v>
      </c>
      <c r="C409" t="s">
        <v>26</v>
      </c>
      <c r="D409" t="s">
        <v>11</v>
      </c>
      <c r="E409">
        <v>934.34</v>
      </c>
      <c r="F409">
        <v>2</v>
      </c>
      <c r="G409">
        <v>0.04</v>
      </c>
      <c r="H409">
        <v>0.2</v>
      </c>
      <c r="I409" t="s">
        <v>12</v>
      </c>
      <c r="J409" t="s">
        <v>248</v>
      </c>
      <c r="K409">
        <f t="shared" si="6"/>
        <v>1868.68</v>
      </c>
    </row>
    <row r="410" spans="1:11">
      <c r="A410">
        <v>409</v>
      </c>
      <c r="B410" s="1">
        <v>45405</v>
      </c>
      <c r="C410" t="s">
        <v>31</v>
      </c>
      <c r="D410" t="s">
        <v>11</v>
      </c>
      <c r="E410">
        <v>165.14</v>
      </c>
      <c r="F410">
        <v>3</v>
      </c>
      <c r="G410">
        <v>0.17</v>
      </c>
      <c r="H410">
        <v>0.22</v>
      </c>
      <c r="I410" t="s">
        <v>21</v>
      </c>
      <c r="J410" t="s">
        <v>249</v>
      </c>
      <c r="K410">
        <f t="shared" si="6"/>
        <v>495.41999999999996</v>
      </c>
    </row>
    <row r="411" spans="1:11">
      <c r="A411">
        <v>410</v>
      </c>
      <c r="B411" s="1">
        <v>45465</v>
      </c>
      <c r="C411" t="s">
        <v>14</v>
      </c>
      <c r="D411" t="s">
        <v>15</v>
      </c>
      <c r="E411">
        <v>1416.04</v>
      </c>
      <c r="F411">
        <v>4</v>
      </c>
      <c r="G411">
        <v>0.04</v>
      </c>
      <c r="H411">
        <v>0.16</v>
      </c>
      <c r="I411" t="s">
        <v>24</v>
      </c>
      <c r="J411" t="s">
        <v>154</v>
      </c>
      <c r="K411">
        <f t="shared" si="6"/>
        <v>5664.16</v>
      </c>
    </row>
    <row r="412" spans="1:11">
      <c r="A412">
        <v>411</v>
      </c>
      <c r="B412" s="1">
        <v>45410</v>
      </c>
      <c r="C412" t="s">
        <v>26</v>
      </c>
      <c r="D412" t="s">
        <v>11</v>
      </c>
      <c r="E412">
        <v>43.75</v>
      </c>
      <c r="F412">
        <v>5</v>
      </c>
      <c r="G412">
        <v>0.09</v>
      </c>
      <c r="H412">
        <v>0.34</v>
      </c>
      <c r="I412" t="s">
        <v>12</v>
      </c>
      <c r="J412" t="s">
        <v>175</v>
      </c>
      <c r="K412">
        <f t="shared" si="6"/>
        <v>218.75</v>
      </c>
    </row>
    <row r="413" spans="1:11">
      <c r="A413">
        <v>412</v>
      </c>
      <c r="B413" s="1">
        <v>45440</v>
      </c>
      <c r="C413" t="s">
        <v>10</v>
      </c>
      <c r="D413" t="s">
        <v>11</v>
      </c>
      <c r="E413">
        <v>1321.92</v>
      </c>
      <c r="F413">
        <v>4</v>
      </c>
      <c r="G413">
        <v>0.28000000000000003</v>
      </c>
      <c r="H413">
        <v>0.18</v>
      </c>
      <c r="I413" t="s">
        <v>16</v>
      </c>
      <c r="J413" t="s">
        <v>93</v>
      </c>
      <c r="K413">
        <f t="shared" si="6"/>
        <v>5287.68</v>
      </c>
    </row>
    <row r="414" spans="1:11">
      <c r="A414">
        <v>413</v>
      </c>
      <c r="B414" s="1">
        <v>45441</v>
      </c>
      <c r="C414" t="s">
        <v>23</v>
      </c>
      <c r="D414" t="s">
        <v>15</v>
      </c>
      <c r="E414">
        <v>1468.14</v>
      </c>
      <c r="F414">
        <v>4</v>
      </c>
      <c r="G414">
        <v>0.02</v>
      </c>
      <c r="H414">
        <v>0.2</v>
      </c>
      <c r="I414" t="s">
        <v>12</v>
      </c>
      <c r="J414" t="s">
        <v>250</v>
      </c>
      <c r="K414">
        <f t="shared" si="6"/>
        <v>5872.56</v>
      </c>
    </row>
    <row r="415" spans="1:11">
      <c r="A415">
        <v>414</v>
      </c>
      <c r="B415" s="1">
        <v>45320</v>
      </c>
      <c r="C415" t="s">
        <v>10</v>
      </c>
      <c r="D415" t="s">
        <v>11</v>
      </c>
      <c r="E415">
        <v>1477.39</v>
      </c>
      <c r="F415">
        <v>4</v>
      </c>
      <c r="G415">
        <v>0.01</v>
      </c>
      <c r="H415">
        <v>0.15</v>
      </c>
      <c r="I415" t="s">
        <v>16</v>
      </c>
      <c r="J415" t="s">
        <v>251</v>
      </c>
      <c r="K415">
        <f t="shared" si="6"/>
        <v>5909.56</v>
      </c>
    </row>
    <row r="416" spans="1:11">
      <c r="A416">
        <v>415</v>
      </c>
      <c r="B416" s="1">
        <v>45379</v>
      </c>
      <c r="C416" t="s">
        <v>14</v>
      </c>
      <c r="D416" t="s">
        <v>15</v>
      </c>
      <c r="E416">
        <v>1035.81</v>
      </c>
      <c r="F416">
        <v>4</v>
      </c>
      <c r="G416">
        <v>0.25</v>
      </c>
      <c r="H416">
        <v>0.16</v>
      </c>
      <c r="I416" t="s">
        <v>12</v>
      </c>
      <c r="J416" t="s">
        <v>209</v>
      </c>
      <c r="K416">
        <f t="shared" si="6"/>
        <v>4143.24</v>
      </c>
    </row>
    <row r="417" spans="1:11">
      <c r="A417">
        <v>416</v>
      </c>
      <c r="B417" s="1">
        <v>45294</v>
      </c>
      <c r="C417" t="s">
        <v>20</v>
      </c>
      <c r="D417" t="s">
        <v>15</v>
      </c>
      <c r="E417">
        <v>530.02</v>
      </c>
      <c r="F417">
        <v>3</v>
      </c>
      <c r="G417">
        <v>0.23</v>
      </c>
      <c r="H417">
        <v>0.32</v>
      </c>
      <c r="I417" t="s">
        <v>24</v>
      </c>
      <c r="J417" t="s">
        <v>68</v>
      </c>
      <c r="K417">
        <f t="shared" si="6"/>
        <v>1590.06</v>
      </c>
    </row>
    <row r="418" spans="1:11">
      <c r="A418">
        <v>417</v>
      </c>
      <c r="B418" s="1">
        <v>45399</v>
      </c>
      <c r="C418" t="s">
        <v>14</v>
      </c>
      <c r="D418" t="s">
        <v>15</v>
      </c>
      <c r="E418">
        <v>463.88</v>
      </c>
      <c r="F418">
        <v>3</v>
      </c>
      <c r="G418">
        <v>0.05</v>
      </c>
      <c r="H418">
        <v>0.13</v>
      </c>
      <c r="I418" t="s">
        <v>12</v>
      </c>
      <c r="J418" t="s">
        <v>252</v>
      </c>
      <c r="K418">
        <f t="shared" si="6"/>
        <v>1391.6399999999999</v>
      </c>
    </row>
    <row r="419" spans="1:11">
      <c r="A419">
        <v>418</v>
      </c>
      <c r="B419" s="1">
        <v>45435</v>
      </c>
      <c r="C419" t="s">
        <v>23</v>
      </c>
      <c r="D419" t="s">
        <v>15</v>
      </c>
      <c r="E419">
        <v>963.53</v>
      </c>
      <c r="F419">
        <v>5</v>
      </c>
      <c r="G419">
        <v>0.05</v>
      </c>
      <c r="H419">
        <v>0.24</v>
      </c>
      <c r="I419" t="s">
        <v>12</v>
      </c>
      <c r="J419" t="s">
        <v>154</v>
      </c>
      <c r="K419">
        <f t="shared" si="6"/>
        <v>4817.6499999999996</v>
      </c>
    </row>
    <row r="420" spans="1:11">
      <c r="A420">
        <v>419</v>
      </c>
      <c r="B420" s="1">
        <v>45395</v>
      </c>
      <c r="C420" t="s">
        <v>20</v>
      </c>
      <c r="D420" t="s">
        <v>15</v>
      </c>
      <c r="E420">
        <v>1222.33</v>
      </c>
      <c r="F420">
        <v>4</v>
      </c>
      <c r="G420">
        <v>0.22</v>
      </c>
      <c r="H420">
        <v>0.4</v>
      </c>
      <c r="I420" t="s">
        <v>16</v>
      </c>
      <c r="J420" t="s">
        <v>253</v>
      </c>
      <c r="K420">
        <f t="shared" si="6"/>
        <v>4889.32</v>
      </c>
    </row>
    <row r="421" spans="1:11">
      <c r="A421">
        <v>420</v>
      </c>
      <c r="B421" s="1">
        <v>45593</v>
      </c>
      <c r="C421" t="s">
        <v>20</v>
      </c>
      <c r="D421" t="s">
        <v>15</v>
      </c>
      <c r="E421">
        <v>311.08</v>
      </c>
      <c r="F421">
        <v>2</v>
      </c>
      <c r="G421">
        <v>0.2</v>
      </c>
      <c r="H421">
        <v>0.19</v>
      </c>
      <c r="I421" t="s">
        <v>24</v>
      </c>
      <c r="J421" t="s">
        <v>234</v>
      </c>
      <c r="K421">
        <f t="shared" si="6"/>
        <v>622.16</v>
      </c>
    </row>
    <row r="422" spans="1:11">
      <c r="A422">
        <v>421</v>
      </c>
      <c r="B422" s="1">
        <v>45377</v>
      </c>
      <c r="C422" t="s">
        <v>14</v>
      </c>
      <c r="D422" t="s">
        <v>15</v>
      </c>
      <c r="E422">
        <v>933.58</v>
      </c>
      <c r="F422">
        <v>3</v>
      </c>
      <c r="G422">
        <v>0.21</v>
      </c>
      <c r="H422">
        <v>0.21</v>
      </c>
      <c r="I422" t="s">
        <v>16</v>
      </c>
      <c r="J422" t="s">
        <v>115</v>
      </c>
      <c r="K422">
        <f t="shared" si="6"/>
        <v>2800.7400000000002</v>
      </c>
    </row>
    <row r="423" spans="1:11">
      <c r="A423">
        <v>422</v>
      </c>
      <c r="B423" s="1">
        <v>45305</v>
      </c>
      <c r="C423" t="s">
        <v>31</v>
      </c>
      <c r="D423" t="s">
        <v>11</v>
      </c>
      <c r="E423">
        <v>1275.8699999999999</v>
      </c>
      <c r="F423">
        <v>2</v>
      </c>
      <c r="G423">
        <v>0.01</v>
      </c>
      <c r="H423">
        <v>0.32</v>
      </c>
      <c r="I423" t="s">
        <v>21</v>
      </c>
      <c r="J423" t="s">
        <v>110</v>
      </c>
      <c r="K423">
        <f t="shared" si="6"/>
        <v>2551.7399999999998</v>
      </c>
    </row>
    <row r="424" spans="1:11">
      <c r="A424">
        <v>423</v>
      </c>
      <c r="B424" s="1">
        <v>45534</v>
      </c>
      <c r="C424" t="s">
        <v>26</v>
      </c>
      <c r="D424" t="s">
        <v>11</v>
      </c>
      <c r="E424">
        <v>1130.58</v>
      </c>
      <c r="F424">
        <v>5</v>
      </c>
      <c r="G424">
        <v>0.11</v>
      </c>
      <c r="H424">
        <v>0.2</v>
      </c>
      <c r="I424" t="s">
        <v>21</v>
      </c>
      <c r="J424" t="s">
        <v>54</v>
      </c>
      <c r="K424">
        <f t="shared" si="6"/>
        <v>5652.9</v>
      </c>
    </row>
    <row r="425" spans="1:11">
      <c r="A425">
        <v>424</v>
      </c>
      <c r="B425" s="1">
        <v>45423</v>
      </c>
      <c r="C425" t="s">
        <v>10</v>
      </c>
      <c r="D425" t="s">
        <v>11</v>
      </c>
      <c r="E425">
        <v>1266.9100000000001</v>
      </c>
      <c r="F425">
        <v>3</v>
      </c>
      <c r="G425">
        <v>0.3</v>
      </c>
      <c r="H425">
        <v>0.21</v>
      </c>
      <c r="I425" t="s">
        <v>12</v>
      </c>
      <c r="J425" t="s">
        <v>92</v>
      </c>
      <c r="K425">
        <f t="shared" si="6"/>
        <v>3800.7300000000005</v>
      </c>
    </row>
    <row r="426" spans="1:11">
      <c r="A426">
        <v>425</v>
      </c>
      <c r="B426" s="1">
        <v>45601</v>
      </c>
      <c r="C426" t="s">
        <v>20</v>
      </c>
      <c r="D426" t="s">
        <v>15</v>
      </c>
      <c r="E426">
        <v>1090.05</v>
      </c>
      <c r="F426">
        <v>3</v>
      </c>
      <c r="G426">
        <v>0.04</v>
      </c>
      <c r="H426">
        <v>0.3</v>
      </c>
      <c r="I426" t="s">
        <v>16</v>
      </c>
      <c r="J426" t="s">
        <v>189</v>
      </c>
      <c r="K426">
        <f t="shared" si="6"/>
        <v>3270.1499999999996</v>
      </c>
    </row>
    <row r="427" spans="1:11">
      <c r="A427">
        <v>426</v>
      </c>
      <c r="B427" s="1">
        <v>45479</v>
      </c>
      <c r="C427" t="s">
        <v>10</v>
      </c>
      <c r="D427" t="s">
        <v>11</v>
      </c>
      <c r="E427">
        <v>1051.04</v>
      </c>
      <c r="F427">
        <v>5</v>
      </c>
      <c r="G427">
        <v>0.01</v>
      </c>
      <c r="H427">
        <v>0.15</v>
      </c>
      <c r="I427" t="s">
        <v>21</v>
      </c>
      <c r="J427" t="s">
        <v>84</v>
      </c>
      <c r="K427">
        <f t="shared" si="6"/>
        <v>5255.2</v>
      </c>
    </row>
    <row r="428" spans="1:11">
      <c r="A428">
        <v>427</v>
      </c>
      <c r="B428" s="1">
        <v>45512</v>
      </c>
      <c r="C428" t="s">
        <v>14</v>
      </c>
      <c r="D428" t="s">
        <v>15</v>
      </c>
      <c r="E428">
        <v>1196.44</v>
      </c>
      <c r="F428">
        <v>4</v>
      </c>
      <c r="G428">
        <v>0.12</v>
      </c>
      <c r="H428">
        <v>0.36</v>
      </c>
      <c r="I428" t="s">
        <v>12</v>
      </c>
      <c r="J428" t="s">
        <v>197</v>
      </c>
      <c r="K428">
        <f t="shared" si="6"/>
        <v>4785.76</v>
      </c>
    </row>
    <row r="429" spans="1:11">
      <c r="A429">
        <v>428</v>
      </c>
      <c r="B429" s="1">
        <v>45545</v>
      </c>
      <c r="C429" t="s">
        <v>14</v>
      </c>
      <c r="D429" t="s">
        <v>15</v>
      </c>
      <c r="E429">
        <v>972.43</v>
      </c>
      <c r="F429">
        <v>5</v>
      </c>
      <c r="G429">
        <v>0.17</v>
      </c>
      <c r="H429">
        <v>0.27</v>
      </c>
      <c r="I429" t="s">
        <v>24</v>
      </c>
      <c r="J429" t="s">
        <v>246</v>
      </c>
      <c r="K429">
        <f t="shared" si="6"/>
        <v>4862.1499999999996</v>
      </c>
    </row>
    <row r="430" spans="1:11">
      <c r="A430">
        <v>429</v>
      </c>
      <c r="B430" s="1">
        <v>45596</v>
      </c>
      <c r="C430" t="s">
        <v>31</v>
      </c>
      <c r="D430" t="s">
        <v>11</v>
      </c>
      <c r="E430">
        <v>742.73</v>
      </c>
      <c r="F430">
        <v>2</v>
      </c>
      <c r="G430">
        <v>0.18</v>
      </c>
      <c r="H430">
        <v>0.11</v>
      </c>
      <c r="I430" t="s">
        <v>21</v>
      </c>
      <c r="J430" t="s">
        <v>254</v>
      </c>
      <c r="K430">
        <f t="shared" si="6"/>
        <v>1485.46</v>
      </c>
    </row>
    <row r="431" spans="1:11">
      <c r="A431">
        <v>430</v>
      </c>
      <c r="B431" s="1">
        <v>45321</v>
      </c>
      <c r="C431" t="s">
        <v>26</v>
      </c>
      <c r="D431" t="s">
        <v>11</v>
      </c>
      <c r="E431">
        <v>963.82</v>
      </c>
      <c r="F431">
        <v>3</v>
      </c>
      <c r="G431">
        <v>0.02</v>
      </c>
      <c r="H431">
        <v>0.2</v>
      </c>
      <c r="I431" t="s">
        <v>12</v>
      </c>
      <c r="J431" t="s">
        <v>154</v>
      </c>
      <c r="K431">
        <f t="shared" si="6"/>
        <v>2891.46</v>
      </c>
    </row>
    <row r="432" spans="1:11">
      <c r="A432">
        <v>431</v>
      </c>
      <c r="B432" s="1">
        <v>45464</v>
      </c>
      <c r="C432" t="s">
        <v>14</v>
      </c>
      <c r="D432" t="s">
        <v>15</v>
      </c>
      <c r="E432">
        <v>1473.4</v>
      </c>
      <c r="F432">
        <v>5</v>
      </c>
      <c r="G432">
        <v>0.24</v>
      </c>
      <c r="H432">
        <v>0.26</v>
      </c>
      <c r="I432" t="s">
        <v>12</v>
      </c>
      <c r="J432" t="s">
        <v>165</v>
      </c>
      <c r="K432">
        <f t="shared" si="6"/>
        <v>7367</v>
      </c>
    </row>
    <row r="433" spans="1:11">
      <c r="A433">
        <v>432</v>
      </c>
      <c r="B433" s="1">
        <v>45407</v>
      </c>
      <c r="C433" t="s">
        <v>20</v>
      </c>
      <c r="D433" t="s">
        <v>15</v>
      </c>
      <c r="E433">
        <v>242.49</v>
      </c>
      <c r="F433">
        <v>1</v>
      </c>
      <c r="G433">
        <v>0.13</v>
      </c>
      <c r="H433">
        <v>0.13</v>
      </c>
      <c r="I433" t="s">
        <v>16</v>
      </c>
      <c r="J433" t="s">
        <v>255</v>
      </c>
      <c r="K433">
        <f t="shared" si="6"/>
        <v>242.49</v>
      </c>
    </row>
    <row r="434" spans="1:11">
      <c r="A434">
        <v>433</v>
      </c>
      <c r="B434" s="1">
        <v>45409</v>
      </c>
      <c r="C434" t="s">
        <v>20</v>
      </c>
      <c r="D434" t="s">
        <v>15</v>
      </c>
      <c r="E434">
        <v>117.25</v>
      </c>
      <c r="F434">
        <v>4</v>
      </c>
      <c r="G434">
        <v>0.22</v>
      </c>
      <c r="H434">
        <v>0.4</v>
      </c>
      <c r="I434" t="s">
        <v>16</v>
      </c>
      <c r="J434" t="s">
        <v>178</v>
      </c>
      <c r="K434">
        <f t="shared" si="6"/>
        <v>469</v>
      </c>
    </row>
    <row r="435" spans="1:11">
      <c r="A435">
        <v>434</v>
      </c>
      <c r="B435" s="1">
        <v>45338</v>
      </c>
      <c r="C435" t="s">
        <v>31</v>
      </c>
      <c r="D435" t="s">
        <v>11</v>
      </c>
      <c r="E435">
        <v>972.78</v>
      </c>
      <c r="F435">
        <v>1</v>
      </c>
      <c r="G435">
        <v>0.19</v>
      </c>
      <c r="H435">
        <v>0.25</v>
      </c>
      <c r="I435" t="s">
        <v>12</v>
      </c>
      <c r="J435" t="s">
        <v>248</v>
      </c>
      <c r="K435">
        <f t="shared" si="6"/>
        <v>972.78</v>
      </c>
    </row>
    <row r="436" spans="1:11">
      <c r="A436">
        <v>435</v>
      </c>
      <c r="B436" s="1">
        <v>45616</v>
      </c>
      <c r="C436" t="s">
        <v>31</v>
      </c>
      <c r="D436" t="s">
        <v>11</v>
      </c>
      <c r="E436">
        <v>199.55</v>
      </c>
      <c r="F436">
        <v>4</v>
      </c>
      <c r="G436">
        <v>0.12</v>
      </c>
      <c r="H436">
        <v>0.27</v>
      </c>
      <c r="I436" t="s">
        <v>12</v>
      </c>
      <c r="J436" t="s">
        <v>223</v>
      </c>
      <c r="K436">
        <f t="shared" si="6"/>
        <v>798.2</v>
      </c>
    </row>
    <row r="437" spans="1:11">
      <c r="A437">
        <v>436</v>
      </c>
      <c r="B437" s="1">
        <v>45398</v>
      </c>
      <c r="C437" t="s">
        <v>14</v>
      </c>
      <c r="D437" t="s">
        <v>15</v>
      </c>
      <c r="E437">
        <v>297.10000000000002</v>
      </c>
      <c r="F437">
        <v>5</v>
      </c>
      <c r="G437">
        <v>0.28999999999999998</v>
      </c>
      <c r="H437">
        <v>0.15</v>
      </c>
      <c r="I437" t="s">
        <v>12</v>
      </c>
      <c r="J437" t="s">
        <v>180</v>
      </c>
      <c r="K437">
        <f t="shared" si="6"/>
        <v>1485.5</v>
      </c>
    </row>
    <row r="438" spans="1:11">
      <c r="A438">
        <v>437</v>
      </c>
      <c r="B438" s="1">
        <v>45342</v>
      </c>
      <c r="C438" t="s">
        <v>14</v>
      </c>
      <c r="D438" t="s">
        <v>15</v>
      </c>
      <c r="E438">
        <v>60.68</v>
      </c>
      <c r="F438">
        <v>5</v>
      </c>
      <c r="G438">
        <v>0.21</v>
      </c>
      <c r="H438">
        <v>0.38</v>
      </c>
      <c r="I438" t="s">
        <v>12</v>
      </c>
      <c r="J438" t="s">
        <v>256</v>
      </c>
      <c r="K438">
        <f t="shared" si="6"/>
        <v>303.39999999999998</v>
      </c>
    </row>
    <row r="439" spans="1:11">
      <c r="A439">
        <v>438</v>
      </c>
      <c r="B439" s="1">
        <v>45360</v>
      </c>
      <c r="C439" t="s">
        <v>20</v>
      </c>
      <c r="D439" t="s">
        <v>15</v>
      </c>
      <c r="E439">
        <v>1412.5</v>
      </c>
      <c r="F439">
        <v>2</v>
      </c>
      <c r="G439">
        <v>0.26</v>
      </c>
      <c r="H439">
        <v>0.17</v>
      </c>
      <c r="I439" t="s">
        <v>21</v>
      </c>
      <c r="J439" t="s">
        <v>257</v>
      </c>
      <c r="K439">
        <f t="shared" si="6"/>
        <v>2825</v>
      </c>
    </row>
    <row r="440" spans="1:11">
      <c r="A440">
        <v>439</v>
      </c>
      <c r="B440" s="1">
        <v>45483</v>
      </c>
      <c r="C440" t="s">
        <v>26</v>
      </c>
      <c r="D440" t="s">
        <v>11</v>
      </c>
      <c r="E440">
        <v>1266.8499999999999</v>
      </c>
      <c r="F440">
        <v>5</v>
      </c>
      <c r="G440">
        <v>0.14000000000000001</v>
      </c>
      <c r="H440">
        <v>0.23</v>
      </c>
      <c r="I440" t="s">
        <v>21</v>
      </c>
      <c r="J440" t="s">
        <v>224</v>
      </c>
      <c r="K440">
        <f t="shared" si="6"/>
        <v>6334.25</v>
      </c>
    </row>
    <row r="441" spans="1:11">
      <c r="A441">
        <v>440</v>
      </c>
      <c r="B441" s="1">
        <v>45420</v>
      </c>
      <c r="C441" t="s">
        <v>14</v>
      </c>
      <c r="D441" t="s">
        <v>15</v>
      </c>
      <c r="E441">
        <v>737.38</v>
      </c>
      <c r="F441">
        <v>2</v>
      </c>
      <c r="G441">
        <v>0.02</v>
      </c>
      <c r="H441">
        <v>0.32</v>
      </c>
      <c r="I441" t="s">
        <v>24</v>
      </c>
      <c r="J441" t="s">
        <v>258</v>
      </c>
      <c r="K441">
        <f t="shared" si="6"/>
        <v>1474.76</v>
      </c>
    </row>
    <row r="442" spans="1:11">
      <c r="A442">
        <v>441</v>
      </c>
      <c r="B442" s="1">
        <v>45607</v>
      </c>
      <c r="C442" t="s">
        <v>14</v>
      </c>
      <c r="D442" t="s">
        <v>15</v>
      </c>
      <c r="E442">
        <v>1175.81</v>
      </c>
      <c r="F442">
        <v>4</v>
      </c>
      <c r="G442">
        <v>0.23</v>
      </c>
      <c r="H442">
        <v>0.15</v>
      </c>
      <c r="I442" t="s">
        <v>21</v>
      </c>
      <c r="J442" t="s">
        <v>95</v>
      </c>
      <c r="K442">
        <f t="shared" si="6"/>
        <v>4703.24</v>
      </c>
    </row>
    <row r="443" spans="1:11">
      <c r="A443">
        <v>442</v>
      </c>
      <c r="B443" s="1">
        <v>45327</v>
      </c>
      <c r="C443" t="s">
        <v>20</v>
      </c>
      <c r="D443" t="s">
        <v>15</v>
      </c>
      <c r="E443">
        <v>218.74</v>
      </c>
      <c r="F443">
        <v>1</v>
      </c>
      <c r="G443">
        <v>0.23</v>
      </c>
      <c r="H443">
        <v>0.3</v>
      </c>
      <c r="I443" t="s">
        <v>24</v>
      </c>
      <c r="J443" t="s">
        <v>259</v>
      </c>
      <c r="K443">
        <f t="shared" si="6"/>
        <v>218.74</v>
      </c>
    </row>
    <row r="444" spans="1:11">
      <c r="A444">
        <v>443</v>
      </c>
      <c r="B444" s="1">
        <v>45454</v>
      </c>
      <c r="C444" t="s">
        <v>20</v>
      </c>
      <c r="D444" t="s">
        <v>15</v>
      </c>
      <c r="E444">
        <v>44.77</v>
      </c>
      <c r="F444">
        <v>4</v>
      </c>
      <c r="G444">
        <v>0.01</v>
      </c>
      <c r="H444">
        <v>0.11</v>
      </c>
      <c r="I444" t="s">
        <v>16</v>
      </c>
      <c r="J444" t="s">
        <v>236</v>
      </c>
      <c r="K444">
        <f t="shared" si="6"/>
        <v>179.08</v>
      </c>
    </row>
    <row r="445" spans="1:11">
      <c r="A445">
        <v>444</v>
      </c>
      <c r="B445" s="1">
        <v>45397</v>
      </c>
      <c r="C445" t="s">
        <v>20</v>
      </c>
      <c r="D445" t="s">
        <v>15</v>
      </c>
      <c r="E445">
        <v>431.53</v>
      </c>
      <c r="F445">
        <v>2</v>
      </c>
      <c r="G445">
        <v>0.08</v>
      </c>
      <c r="H445">
        <v>0.33</v>
      </c>
      <c r="I445" t="s">
        <v>12</v>
      </c>
      <c r="J445" t="s">
        <v>148</v>
      </c>
      <c r="K445">
        <f t="shared" si="6"/>
        <v>863.06</v>
      </c>
    </row>
    <row r="446" spans="1:11">
      <c r="A446">
        <v>445</v>
      </c>
      <c r="B446" s="1">
        <v>45398</v>
      </c>
      <c r="C446" t="s">
        <v>14</v>
      </c>
      <c r="D446" t="s">
        <v>15</v>
      </c>
      <c r="E446">
        <v>1271.06</v>
      </c>
      <c r="F446">
        <v>4</v>
      </c>
      <c r="G446">
        <v>0.05</v>
      </c>
      <c r="H446">
        <v>0.36</v>
      </c>
      <c r="I446" t="s">
        <v>12</v>
      </c>
      <c r="J446" t="s">
        <v>260</v>
      </c>
      <c r="K446">
        <f t="shared" si="6"/>
        <v>5084.24</v>
      </c>
    </row>
    <row r="447" spans="1:11">
      <c r="A447">
        <v>446</v>
      </c>
      <c r="B447" s="1">
        <v>45469</v>
      </c>
      <c r="C447" t="s">
        <v>23</v>
      </c>
      <c r="D447" t="s">
        <v>15</v>
      </c>
      <c r="E447">
        <v>117.41</v>
      </c>
      <c r="F447">
        <v>2</v>
      </c>
      <c r="G447">
        <v>0.17</v>
      </c>
      <c r="H447">
        <v>0.2</v>
      </c>
      <c r="I447" t="s">
        <v>21</v>
      </c>
      <c r="J447" t="s">
        <v>144</v>
      </c>
      <c r="K447">
        <f t="shared" si="6"/>
        <v>234.82</v>
      </c>
    </row>
    <row r="448" spans="1:11">
      <c r="A448">
        <v>447</v>
      </c>
      <c r="B448" s="1">
        <v>45434</v>
      </c>
      <c r="C448" t="s">
        <v>26</v>
      </c>
      <c r="D448" t="s">
        <v>11</v>
      </c>
      <c r="E448">
        <v>631.37</v>
      </c>
      <c r="F448">
        <v>2</v>
      </c>
      <c r="G448">
        <v>0.22</v>
      </c>
      <c r="H448">
        <v>0.26</v>
      </c>
      <c r="I448" t="s">
        <v>24</v>
      </c>
      <c r="J448" t="s">
        <v>192</v>
      </c>
      <c r="K448">
        <f t="shared" si="6"/>
        <v>1262.74</v>
      </c>
    </row>
    <row r="449" spans="1:11">
      <c r="A449">
        <v>448</v>
      </c>
      <c r="B449" s="1">
        <v>45433</v>
      </c>
      <c r="C449" t="s">
        <v>26</v>
      </c>
      <c r="D449" t="s">
        <v>11</v>
      </c>
      <c r="E449">
        <v>1326.15</v>
      </c>
      <c r="F449">
        <v>5</v>
      </c>
      <c r="G449">
        <v>0.02</v>
      </c>
      <c r="H449">
        <v>0.23</v>
      </c>
      <c r="I449" t="s">
        <v>21</v>
      </c>
      <c r="J449" t="s">
        <v>261</v>
      </c>
      <c r="K449">
        <f t="shared" si="6"/>
        <v>6630.75</v>
      </c>
    </row>
    <row r="450" spans="1:11">
      <c r="A450">
        <v>449</v>
      </c>
      <c r="B450" s="1">
        <v>45378</v>
      </c>
      <c r="C450" t="s">
        <v>14</v>
      </c>
      <c r="D450" t="s">
        <v>15</v>
      </c>
      <c r="E450">
        <v>1102.96</v>
      </c>
      <c r="F450">
        <v>2</v>
      </c>
      <c r="G450">
        <v>0.28999999999999998</v>
      </c>
      <c r="H450">
        <v>0.14000000000000001</v>
      </c>
      <c r="I450" t="s">
        <v>24</v>
      </c>
      <c r="J450" t="s">
        <v>165</v>
      </c>
      <c r="K450">
        <f t="shared" si="6"/>
        <v>2205.92</v>
      </c>
    </row>
    <row r="451" spans="1:11">
      <c r="A451">
        <v>450</v>
      </c>
      <c r="B451" s="1">
        <v>45452</v>
      </c>
      <c r="C451" t="s">
        <v>23</v>
      </c>
      <c r="D451" t="s">
        <v>15</v>
      </c>
      <c r="E451">
        <v>317.19</v>
      </c>
      <c r="F451">
        <v>1</v>
      </c>
      <c r="G451">
        <v>0.14000000000000001</v>
      </c>
      <c r="H451">
        <v>0.39</v>
      </c>
      <c r="I451" t="s">
        <v>16</v>
      </c>
      <c r="J451" t="s">
        <v>257</v>
      </c>
      <c r="K451">
        <f t="shared" si="6"/>
        <v>317.19</v>
      </c>
    </row>
    <row r="452" spans="1:11">
      <c r="A452">
        <v>451</v>
      </c>
      <c r="B452" s="1">
        <v>45377</v>
      </c>
      <c r="C452" t="s">
        <v>23</v>
      </c>
      <c r="D452" t="s">
        <v>15</v>
      </c>
      <c r="E452">
        <v>248.09</v>
      </c>
      <c r="F452">
        <v>4</v>
      </c>
      <c r="G452">
        <v>0.13</v>
      </c>
      <c r="H452">
        <v>0.13</v>
      </c>
      <c r="I452" t="s">
        <v>12</v>
      </c>
      <c r="J452" t="s">
        <v>262</v>
      </c>
      <c r="K452">
        <f t="shared" ref="K452:K515" si="7">E452*F452</f>
        <v>992.36</v>
      </c>
    </row>
    <row r="453" spans="1:11">
      <c r="A453">
        <v>452</v>
      </c>
      <c r="B453" s="1">
        <v>45319</v>
      </c>
      <c r="C453" t="s">
        <v>31</v>
      </c>
      <c r="D453" t="s">
        <v>11</v>
      </c>
      <c r="E453">
        <v>852.8</v>
      </c>
      <c r="F453">
        <v>1</v>
      </c>
      <c r="G453">
        <v>0.28999999999999998</v>
      </c>
      <c r="H453">
        <v>0.17</v>
      </c>
      <c r="I453" t="s">
        <v>21</v>
      </c>
      <c r="J453" t="s">
        <v>263</v>
      </c>
      <c r="K453">
        <f t="shared" si="7"/>
        <v>852.8</v>
      </c>
    </row>
    <row r="454" spans="1:11">
      <c r="A454">
        <v>453</v>
      </c>
      <c r="B454" s="1">
        <v>45389</v>
      </c>
      <c r="C454" t="s">
        <v>31</v>
      </c>
      <c r="D454" t="s">
        <v>11</v>
      </c>
      <c r="E454">
        <v>1091.1500000000001</v>
      </c>
      <c r="F454">
        <v>1</v>
      </c>
      <c r="G454">
        <v>0.24</v>
      </c>
      <c r="H454">
        <v>0.26</v>
      </c>
      <c r="I454" t="s">
        <v>24</v>
      </c>
      <c r="J454" t="s">
        <v>264</v>
      </c>
      <c r="K454">
        <f t="shared" si="7"/>
        <v>1091.1500000000001</v>
      </c>
    </row>
    <row r="455" spans="1:11">
      <c r="A455">
        <v>454</v>
      </c>
      <c r="B455" s="1">
        <v>45293</v>
      </c>
      <c r="C455" t="s">
        <v>26</v>
      </c>
      <c r="D455" t="s">
        <v>11</v>
      </c>
      <c r="E455">
        <v>145.54</v>
      </c>
      <c r="F455">
        <v>2</v>
      </c>
      <c r="G455">
        <v>0.15</v>
      </c>
      <c r="H455">
        <v>0.15</v>
      </c>
      <c r="I455" t="s">
        <v>12</v>
      </c>
      <c r="J455" t="s">
        <v>202</v>
      </c>
      <c r="K455">
        <f t="shared" si="7"/>
        <v>291.08</v>
      </c>
    </row>
    <row r="456" spans="1:11">
      <c r="A456">
        <v>455</v>
      </c>
      <c r="B456" s="1">
        <v>45416</v>
      </c>
      <c r="C456" t="s">
        <v>10</v>
      </c>
      <c r="D456" t="s">
        <v>11</v>
      </c>
      <c r="E456">
        <v>1004.68</v>
      </c>
      <c r="F456">
        <v>1</v>
      </c>
      <c r="G456">
        <v>0.2</v>
      </c>
      <c r="H456">
        <v>0.24</v>
      </c>
      <c r="I456" t="s">
        <v>12</v>
      </c>
      <c r="J456" t="s">
        <v>64</v>
      </c>
      <c r="K456">
        <f t="shared" si="7"/>
        <v>1004.68</v>
      </c>
    </row>
    <row r="457" spans="1:11">
      <c r="A457">
        <v>456</v>
      </c>
      <c r="B457" s="1">
        <v>45350</v>
      </c>
      <c r="C457" t="s">
        <v>23</v>
      </c>
      <c r="D457" t="s">
        <v>15</v>
      </c>
      <c r="E457">
        <v>1130.19</v>
      </c>
      <c r="F457">
        <v>4</v>
      </c>
      <c r="G457">
        <v>0.02</v>
      </c>
      <c r="H457">
        <v>0.25</v>
      </c>
      <c r="I457" t="s">
        <v>16</v>
      </c>
      <c r="J457" t="s">
        <v>256</v>
      </c>
      <c r="K457">
        <f t="shared" si="7"/>
        <v>4520.76</v>
      </c>
    </row>
    <row r="458" spans="1:11">
      <c r="A458">
        <v>457</v>
      </c>
      <c r="B458" s="1">
        <v>45568</v>
      </c>
      <c r="C458" t="s">
        <v>20</v>
      </c>
      <c r="D458" t="s">
        <v>15</v>
      </c>
      <c r="E458">
        <v>702.38</v>
      </c>
      <c r="F458">
        <v>3</v>
      </c>
      <c r="G458">
        <v>0.24</v>
      </c>
      <c r="H458">
        <v>0.16</v>
      </c>
      <c r="I458" t="s">
        <v>24</v>
      </c>
      <c r="J458" t="s">
        <v>168</v>
      </c>
      <c r="K458">
        <f t="shared" si="7"/>
        <v>2107.14</v>
      </c>
    </row>
    <row r="459" spans="1:11">
      <c r="A459">
        <v>458</v>
      </c>
      <c r="B459" s="1">
        <v>45523</v>
      </c>
      <c r="C459" t="s">
        <v>31</v>
      </c>
      <c r="D459" t="s">
        <v>11</v>
      </c>
      <c r="E459">
        <v>267.94</v>
      </c>
      <c r="F459">
        <v>4</v>
      </c>
      <c r="G459">
        <v>0.23</v>
      </c>
      <c r="H459">
        <v>0.26</v>
      </c>
      <c r="I459" t="s">
        <v>16</v>
      </c>
      <c r="J459" t="s">
        <v>255</v>
      </c>
      <c r="K459">
        <f t="shared" si="7"/>
        <v>1071.76</v>
      </c>
    </row>
    <row r="460" spans="1:11">
      <c r="A460">
        <v>459</v>
      </c>
      <c r="B460" s="1">
        <v>45459</v>
      </c>
      <c r="C460" t="s">
        <v>14</v>
      </c>
      <c r="D460" t="s">
        <v>15</v>
      </c>
      <c r="E460">
        <v>1319.8</v>
      </c>
      <c r="F460">
        <v>4</v>
      </c>
      <c r="G460">
        <v>0.26</v>
      </c>
      <c r="H460">
        <v>0.17</v>
      </c>
      <c r="I460" t="s">
        <v>12</v>
      </c>
      <c r="J460" t="s">
        <v>265</v>
      </c>
      <c r="K460">
        <f t="shared" si="7"/>
        <v>5279.2</v>
      </c>
    </row>
    <row r="461" spans="1:11">
      <c r="A461">
        <v>460</v>
      </c>
      <c r="B461" s="1">
        <v>45539</v>
      </c>
      <c r="C461" t="s">
        <v>23</v>
      </c>
      <c r="D461" t="s">
        <v>15</v>
      </c>
      <c r="E461">
        <v>1477.86</v>
      </c>
      <c r="F461">
        <v>2</v>
      </c>
      <c r="G461">
        <v>0.17</v>
      </c>
      <c r="H461">
        <v>0.27</v>
      </c>
      <c r="I461" t="s">
        <v>21</v>
      </c>
      <c r="J461" t="s">
        <v>134</v>
      </c>
      <c r="K461">
        <f t="shared" si="7"/>
        <v>2955.72</v>
      </c>
    </row>
    <row r="462" spans="1:11">
      <c r="A462">
        <v>461</v>
      </c>
      <c r="B462" s="1">
        <v>45553</v>
      </c>
      <c r="C462" t="s">
        <v>26</v>
      </c>
      <c r="D462" t="s">
        <v>11</v>
      </c>
      <c r="E462">
        <v>709.3</v>
      </c>
      <c r="F462">
        <v>4</v>
      </c>
      <c r="G462">
        <v>0.16</v>
      </c>
      <c r="H462">
        <v>0.25</v>
      </c>
      <c r="I462" t="s">
        <v>12</v>
      </c>
      <c r="J462" t="s">
        <v>206</v>
      </c>
      <c r="K462">
        <f t="shared" si="7"/>
        <v>2837.2</v>
      </c>
    </row>
    <row r="463" spans="1:11">
      <c r="A463">
        <v>462</v>
      </c>
      <c r="B463" s="1">
        <v>45488</v>
      </c>
      <c r="C463" t="s">
        <v>31</v>
      </c>
      <c r="D463" t="s">
        <v>11</v>
      </c>
      <c r="E463">
        <v>573.6</v>
      </c>
      <c r="F463">
        <v>1</v>
      </c>
      <c r="G463">
        <v>0.12</v>
      </c>
      <c r="H463">
        <v>0.13</v>
      </c>
      <c r="I463" t="s">
        <v>21</v>
      </c>
      <c r="J463" t="s">
        <v>205</v>
      </c>
      <c r="K463">
        <f t="shared" si="7"/>
        <v>573.6</v>
      </c>
    </row>
    <row r="464" spans="1:11">
      <c r="A464">
        <v>463</v>
      </c>
      <c r="B464" s="1">
        <v>45588</v>
      </c>
      <c r="C464" t="s">
        <v>20</v>
      </c>
      <c r="D464" t="s">
        <v>15</v>
      </c>
      <c r="E464">
        <v>1447.6</v>
      </c>
      <c r="F464">
        <v>4</v>
      </c>
      <c r="G464">
        <v>0.16</v>
      </c>
      <c r="H464">
        <v>0.19</v>
      </c>
      <c r="I464" t="s">
        <v>16</v>
      </c>
      <c r="J464" t="s">
        <v>231</v>
      </c>
      <c r="K464">
        <f t="shared" si="7"/>
        <v>5790.4</v>
      </c>
    </row>
    <row r="465" spans="1:11">
      <c r="A465">
        <v>464</v>
      </c>
      <c r="B465" s="1">
        <v>45529</v>
      </c>
      <c r="C465" t="s">
        <v>31</v>
      </c>
      <c r="D465" t="s">
        <v>11</v>
      </c>
      <c r="E465">
        <v>876.95</v>
      </c>
      <c r="F465">
        <v>5</v>
      </c>
      <c r="G465">
        <v>0.09</v>
      </c>
      <c r="H465">
        <v>0.28999999999999998</v>
      </c>
      <c r="I465" t="s">
        <v>21</v>
      </c>
      <c r="J465" t="s">
        <v>260</v>
      </c>
      <c r="K465">
        <f t="shared" si="7"/>
        <v>4384.75</v>
      </c>
    </row>
    <row r="466" spans="1:11">
      <c r="A466">
        <v>465</v>
      </c>
      <c r="B466" s="1">
        <v>45554</v>
      </c>
      <c r="C466" t="s">
        <v>31</v>
      </c>
      <c r="D466" t="s">
        <v>11</v>
      </c>
      <c r="E466">
        <v>811.22</v>
      </c>
      <c r="F466">
        <v>2</v>
      </c>
      <c r="G466">
        <v>0.13</v>
      </c>
      <c r="H466">
        <v>0.27</v>
      </c>
      <c r="I466" t="s">
        <v>24</v>
      </c>
      <c r="J466" t="s">
        <v>58</v>
      </c>
      <c r="K466">
        <f t="shared" si="7"/>
        <v>1622.44</v>
      </c>
    </row>
    <row r="467" spans="1:11">
      <c r="A467">
        <v>466</v>
      </c>
      <c r="B467" s="1">
        <v>45331</v>
      </c>
      <c r="C467" t="s">
        <v>20</v>
      </c>
      <c r="D467" t="s">
        <v>15</v>
      </c>
      <c r="E467">
        <v>929.87</v>
      </c>
      <c r="F467">
        <v>5</v>
      </c>
      <c r="G467">
        <v>0.27</v>
      </c>
      <c r="H467">
        <v>0.18</v>
      </c>
      <c r="I467" t="s">
        <v>21</v>
      </c>
      <c r="J467" t="s">
        <v>266</v>
      </c>
      <c r="K467">
        <f t="shared" si="7"/>
        <v>4649.3500000000004</v>
      </c>
    </row>
    <row r="468" spans="1:11">
      <c r="A468">
        <v>467</v>
      </c>
      <c r="B468" s="1">
        <v>45392</v>
      </c>
      <c r="C468" t="s">
        <v>31</v>
      </c>
      <c r="D468" t="s">
        <v>11</v>
      </c>
      <c r="E468">
        <v>772.9</v>
      </c>
      <c r="F468">
        <v>4</v>
      </c>
      <c r="G468">
        <v>0.06</v>
      </c>
      <c r="H468">
        <v>0.16</v>
      </c>
      <c r="I468" t="s">
        <v>24</v>
      </c>
      <c r="J468" t="s">
        <v>260</v>
      </c>
      <c r="K468">
        <f t="shared" si="7"/>
        <v>3091.6</v>
      </c>
    </row>
    <row r="469" spans="1:11">
      <c r="A469">
        <v>468</v>
      </c>
      <c r="B469" s="1">
        <v>45537</v>
      </c>
      <c r="C469" t="s">
        <v>26</v>
      </c>
      <c r="D469" t="s">
        <v>11</v>
      </c>
      <c r="E469">
        <v>1105.6400000000001</v>
      </c>
      <c r="F469">
        <v>3</v>
      </c>
      <c r="G469">
        <v>0.09</v>
      </c>
      <c r="H469">
        <v>0.34</v>
      </c>
      <c r="I469" t="s">
        <v>24</v>
      </c>
      <c r="J469" t="s">
        <v>50</v>
      </c>
      <c r="K469">
        <f t="shared" si="7"/>
        <v>3316.92</v>
      </c>
    </row>
    <row r="470" spans="1:11">
      <c r="A470">
        <v>469</v>
      </c>
      <c r="B470" s="1">
        <v>45307</v>
      </c>
      <c r="C470" t="s">
        <v>10</v>
      </c>
      <c r="D470" t="s">
        <v>11</v>
      </c>
      <c r="E470">
        <v>1288.8900000000001</v>
      </c>
      <c r="F470">
        <v>1</v>
      </c>
      <c r="G470">
        <v>0.24</v>
      </c>
      <c r="H470">
        <v>0.25</v>
      </c>
      <c r="I470" t="s">
        <v>12</v>
      </c>
      <c r="J470" t="s">
        <v>37</v>
      </c>
      <c r="K470">
        <f t="shared" si="7"/>
        <v>1288.8900000000001</v>
      </c>
    </row>
    <row r="471" spans="1:11">
      <c r="A471">
        <v>470</v>
      </c>
      <c r="B471" s="1">
        <v>45560</v>
      </c>
      <c r="C471" t="s">
        <v>26</v>
      </c>
      <c r="D471" t="s">
        <v>11</v>
      </c>
      <c r="E471">
        <v>1482.91</v>
      </c>
      <c r="F471">
        <v>5</v>
      </c>
      <c r="G471">
        <v>0.3</v>
      </c>
      <c r="H471">
        <v>0.3</v>
      </c>
      <c r="I471" t="s">
        <v>16</v>
      </c>
      <c r="J471" t="s">
        <v>267</v>
      </c>
      <c r="K471">
        <f t="shared" si="7"/>
        <v>7414.55</v>
      </c>
    </row>
    <row r="472" spans="1:11">
      <c r="A472">
        <v>471</v>
      </c>
      <c r="B472" s="1">
        <v>45538</v>
      </c>
      <c r="C472" t="s">
        <v>31</v>
      </c>
      <c r="D472" t="s">
        <v>11</v>
      </c>
      <c r="E472">
        <v>501.44</v>
      </c>
      <c r="F472">
        <v>4</v>
      </c>
      <c r="G472">
        <v>0.26</v>
      </c>
      <c r="H472">
        <v>0.23</v>
      </c>
      <c r="I472" t="s">
        <v>24</v>
      </c>
      <c r="J472" t="s">
        <v>240</v>
      </c>
      <c r="K472">
        <f t="shared" si="7"/>
        <v>2005.76</v>
      </c>
    </row>
    <row r="473" spans="1:11">
      <c r="A473">
        <v>472</v>
      </c>
      <c r="B473" s="1">
        <v>45572</v>
      </c>
      <c r="C473" t="s">
        <v>10</v>
      </c>
      <c r="D473" t="s">
        <v>11</v>
      </c>
      <c r="E473">
        <v>216.49</v>
      </c>
      <c r="F473">
        <v>5</v>
      </c>
      <c r="G473">
        <v>0.17</v>
      </c>
      <c r="H473">
        <v>0.26</v>
      </c>
      <c r="I473" t="s">
        <v>24</v>
      </c>
      <c r="J473" t="s">
        <v>268</v>
      </c>
      <c r="K473">
        <f t="shared" si="7"/>
        <v>1082.45</v>
      </c>
    </row>
    <row r="474" spans="1:11">
      <c r="A474">
        <v>473</v>
      </c>
      <c r="B474" s="1">
        <v>45480</v>
      </c>
      <c r="C474" t="s">
        <v>23</v>
      </c>
      <c r="D474" t="s">
        <v>15</v>
      </c>
      <c r="E474">
        <v>1238.8599999999999</v>
      </c>
      <c r="F474">
        <v>2</v>
      </c>
      <c r="G474">
        <v>0.02</v>
      </c>
      <c r="H474">
        <v>0.32</v>
      </c>
      <c r="I474" t="s">
        <v>24</v>
      </c>
      <c r="J474" t="s">
        <v>164</v>
      </c>
      <c r="K474">
        <f t="shared" si="7"/>
        <v>2477.7199999999998</v>
      </c>
    </row>
    <row r="475" spans="1:11">
      <c r="A475">
        <v>474</v>
      </c>
      <c r="B475" s="1">
        <v>45502</v>
      </c>
      <c r="C475" t="s">
        <v>10</v>
      </c>
      <c r="D475" t="s">
        <v>11</v>
      </c>
      <c r="E475">
        <v>521.84</v>
      </c>
      <c r="F475">
        <v>1</v>
      </c>
      <c r="G475">
        <v>0.25</v>
      </c>
      <c r="H475">
        <v>0.26</v>
      </c>
      <c r="I475" t="s">
        <v>24</v>
      </c>
      <c r="J475" t="s">
        <v>157</v>
      </c>
      <c r="K475">
        <f t="shared" si="7"/>
        <v>521.84</v>
      </c>
    </row>
    <row r="476" spans="1:11">
      <c r="A476">
        <v>475</v>
      </c>
      <c r="B476" s="1">
        <v>45655</v>
      </c>
      <c r="C476" t="s">
        <v>23</v>
      </c>
      <c r="D476" t="s">
        <v>15</v>
      </c>
      <c r="E476">
        <v>1145.3800000000001</v>
      </c>
      <c r="F476">
        <v>1</v>
      </c>
      <c r="G476">
        <v>0.14000000000000001</v>
      </c>
      <c r="H476">
        <v>0.35</v>
      </c>
      <c r="I476" t="s">
        <v>21</v>
      </c>
      <c r="J476" t="s">
        <v>232</v>
      </c>
      <c r="K476">
        <f t="shared" si="7"/>
        <v>1145.3800000000001</v>
      </c>
    </row>
    <row r="477" spans="1:11">
      <c r="A477">
        <v>476</v>
      </c>
      <c r="B477" s="1">
        <v>45577</v>
      </c>
      <c r="C477" t="s">
        <v>23</v>
      </c>
      <c r="D477" t="s">
        <v>15</v>
      </c>
      <c r="E477">
        <v>488.24</v>
      </c>
      <c r="F477">
        <v>2</v>
      </c>
      <c r="G477">
        <v>0.25</v>
      </c>
      <c r="H477">
        <v>0.36</v>
      </c>
      <c r="I477" t="s">
        <v>21</v>
      </c>
      <c r="J477" t="s">
        <v>256</v>
      </c>
      <c r="K477">
        <f t="shared" si="7"/>
        <v>976.48</v>
      </c>
    </row>
    <row r="478" spans="1:11">
      <c r="A478">
        <v>477</v>
      </c>
      <c r="B478" s="1">
        <v>45454</v>
      </c>
      <c r="C478" t="s">
        <v>31</v>
      </c>
      <c r="D478" t="s">
        <v>11</v>
      </c>
      <c r="E478">
        <v>281.3</v>
      </c>
      <c r="F478">
        <v>5</v>
      </c>
      <c r="G478">
        <v>0.03</v>
      </c>
      <c r="H478">
        <v>0.13</v>
      </c>
      <c r="I478" t="s">
        <v>21</v>
      </c>
      <c r="J478" t="s">
        <v>76</v>
      </c>
      <c r="K478">
        <f t="shared" si="7"/>
        <v>1406.5</v>
      </c>
    </row>
    <row r="479" spans="1:11">
      <c r="A479">
        <v>478</v>
      </c>
      <c r="B479" s="1">
        <v>45366</v>
      </c>
      <c r="C479" t="s">
        <v>26</v>
      </c>
      <c r="D479" t="s">
        <v>11</v>
      </c>
      <c r="E479">
        <v>234.41</v>
      </c>
      <c r="F479">
        <v>1</v>
      </c>
      <c r="G479">
        <v>0.22</v>
      </c>
      <c r="H479">
        <v>0.16</v>
      </c>
      <c r="I479" t="s">
        <v>24</v>
      </c>
      <c r="J479" t="s">
        <v>255</v>
      </c>
      <c r="K479">
        <f t="shared" si="7"/>
        <v>234.41</v>
      </c>
    </row>
    <row r="480" spans="1:11">
      <c r="A480">
        <v>479</v>
      </c>
      <c r="B480" s="1">
        <v>45562</v>
      </c>
      <c r="C480" t="s">
        <v>23</v>
      </c>
      <c r="D480" t="s">
        <v>15</v>
      </c>
      <c r="E480">
        <v>985.44</v>
      </c>
      <c r="F480">
        <v>1</v>
      </c>
      <c r="G480">
        <v>0.25</v>
      </c>
      <c r="H480">
        <v>0.24</v>
      </c>
      <c r="I480" t="s">
        <v>12</v>
      </c>
      <c r="J480" t="s">
        <v>108</v>
      </c>
      <c r="K480">
        <f t="shared" si="7"/>
        <v>985.44</v>
      </c>
    </row>
    <row r="481" spans="1:11">
      <c r="A481">
        <v>480</v>
      </c>
      <c r="B481" s="1">
        <v>45357</v>
      </c>
      <c r="C481" t="s">
        <v>10</v>
      </c>
      <c r="D481" t="s">
        <v>11</v>
      </c>
      <c r="E481">
        <v>399.61</v>
      </c>
      <c r="F481">
        <v>1</v>
      </c>
      <c r="G481">
        <v>0.04</v>
      </c>
      <c r="H481">
        <v>0.3</v>
      </c>
      <c r="I481" t="s">
        <v>12</v>
      </c>
      <c r="J481" t="s">
        <v>198</v>
      </c>
      <c r="K481">
        <f t="shared" si="7"/>
        <v>399.61</v>
      </c>
    </row>
    <row r="482" spans="1:11">
      <c r="A482">
        <v>481</v>
      </c>
      <c r="B482" s="1">
        <v>45439</v>
      </c>
      <c r="C482" t="s">
        <v>10</v>
      </c>
      <c r="D482" t="s">
        <v>11</v>
      </c>
      <c r="E482">
        <v>489.51</v>
      </c>
      <c r="F482">
        <v>4</v>
      </c>
      <c r="G482">
        <v>0.2</v>
      </c>
      <c r="H482">
        <v>0.15</v>
      </c>
      <c r="I482" t="s">
        <v>16</v>
      </c>
      <c r="J482" t="s">
        <v>269</v>
      </c>
      <c r="K482">
        <f t="shared" si="7"/>
        <v>1958.04</v>
      </c>
    </row>
    <row r="483" spans="1:11">
      <c r="A483">
        <v>482</v>
      </c>
      <c r="B483" s="1">
        <v>45585</v>
      </c>
      <c r="C483" t="s">
        <v>10</v>
      </c>
      <c r="D483" t="s">
        <v>11</v>
      </c>
      <c r="E483">
        <v>360.09</v>
      </c>
      <c r="F483">
        <v>3</v>
      </c>
      <c r="G483">
        <v>0.21</v>
      </c>
      <c r="H483">
        <v>0.25</v>
      </c>
      <c r="I483" t="s">
        <v>21</v>
      </c>
      <c r="J483" t="s">
        <v>53</v>
      </c>
      <c r="K483">
        <f t="shared" si="7"/>
        <v>1080.27</v>
      </c>
    </row>
    <row r="484" spans="1:11">
      <c r="A484">
        <v>483</v>
      </c>
      <c r="B484" s="1">
        <v>45593</v>
      </c>
      <c r="C484" t="s">
        <v>26</v>
      </c>
      <c r="D484" t="s">
        <v>11</v>
      </c>
      <c r="E484">
        <v>556.55999999999995</v>
      </c>
      <c r="F484">
        <v>5</v>
      </c>
      <c r="G484">
        <v>0.01</v>
      </c>
      <c r="H484">
        <v>0.19</v>
      </c>
      <c r="I484" t="s">
        <v>21</v>
      </c>
      <c r="J484" t="s">
        <v>270</v>
      </c>
      <c r="K484">
        <f t="shared" si="7"/>
        <v>2782.7999999999997</v>
      </c>
    </row>
    <row r="485" spans="1:11">
      <c r="A485">
        <v>484</v>
      </c>
      <c r="B485" s="1">
        <v>45646</v>
      </c>
      <c r="C485" t="s">
        <v>20</v>
      </c>
      <c r="D485" t="s">
        <v>15</v>
      </c>
      <c r="E485">
        <v>1144.8900000000001</v>
      </c>
      <c r="F485">
        <v>4</v>
      </c>
      <c r="G485">
        <v>0.26</v>
      </c>
      <c r="H485">
        <v>0.33</v>
      </c>
      <c r="I485" t="s">
        <v>12</v>
      </c>
      <c r="J485" t="s">
        <v>271</v>
      </c>
      <c r="K485">
        <f t="shared" si="7"/>
        <v>4579.5600000000004</v>
      </c>
    </row>
    <row r="486" spans="1:11">
      <c r="A486">
        <v>485</v>
      </c>
      <c r="B486" s="1">
        <v>45510</v>
      </c>
      <c r="C486" t="s">
        <v>20</v>
      </c>
      <c r="D486" t="s">
        <v>15</v>
      </c>
      <c r="E486">
        <v>112.16</v>
      </c>
      <c r="F486">
        <v>2</v>
      </c>
      <c r="G486">
        <v>0.2</v>
      </c>
      <c r="H486">
        <v>0.36</v>
      </c>
      <c r="I486" t="s">
        <v>21</v>
      </c>
      <c r="J486" t="s">
        <v>22</v>
      </c>
      <c r="K486">
        <f t="shared" si="7"/>
        <v>224.32</v>
      </c>
    </row>
    <row r="487" spans="1:11">
      <c r="A487">
        <v>486</v>
      </c>
      <c r="B487" s="1">
        <v>45433</v>
      </c>
      <c r="C487" t="s">
        <v>20</v>
      </c>
      <c r="D487" t="s">
        <v>15</v>
      </c>
      <c r="E487">
        <v>851.65</v>
      </c>
      <c r="F487">
        <v>3</v>
      </c>
      <c r="G487">
        <v>0.12</v>
      </c>
      <c r="H487">
        <v>0.21</v>
      </c>
      <c r="I487" t="s">
        <v>12</v>
      </c>
      <c r="J487" t="s">
        <v>22</v>
      </c>
      <c r="K487">
        <f t="shared" si="7"/>
        <v>2554.9499999999998</v>
      </c>
    </row>
    <row r="488" spans="1:11">
      <c r="A488">
        <v>487</v>
      </c>
      <c r="B488" s="1">
        <v>45375</v>
      </c>
      <c r="C488" t="s">
        <v>31</v>
      </c>
      <c r="D488" t="s">
        <v>11</v>
      </c>
      <c r="E488">
        <v>1300.23</v>
      </c>
      <c r="F488">
        <v>3</v>
      </c>
      <c r="G488">
        <v>0.12</v>
      </c>
      <c r="H488">
        <v>0.34</v>
      </c>
      <c r="I488" t="s">
        <v>21</v>
      </c>
      <c r="J488" t="s">
        <v>39</v>
      </c>
      <c r="K488">
        <f t="shared" si="7"/>
        <v>3900.69</v>
      </c>
    </row>
    <row r="489" spans="1:11">
      <c r="A489">
        <v>488</v>
      </c>
      <c r="B489" s="1">
        <v>45374</v>
      </c>
      <c r="C489" t="s">
        <v>31</v>
      </c>
      <c r="D489" t="s">
        <v>11</v>
      </c>
      <c r="E489">
        <v>51.55</v>
      </c>
      <c r="F489">
        <v>2</v>
      </c>
      <c r="G489">
        <v>0.28999999999999998</v>
      </c>
      <c r="H489">
        <v>0.14000000000000001</v>
      </c>
      <c r="I489" t="s">
        <v>16</v>
      </c>
      <c r="J489" t="s">
        <v>188</v>
      </c>
      <c r="K489">
        <f t="shared" si="7"/>
        <v>103.1</v>
      </c>
    </row>
    <row r="490" spans="1:11">
      <c r="A490">
        <v>489</v>
      </c>
      <c r="B490" s="1">
        <v>45464</v>
      </c>
      <c r="C490" t="s">
        <v>31</v>
      </c>
      <c r="D490" t="s">
        <v>11</v>
      </c>
      <c r="E490">
        <v>1459.85</v>
      </c>
      <c r="F490">
        <v>3</v>
      </c>
      <c r="G490">
        <v>0.23</v>
      </c>
      <c r="H490">
        <v>0.34</v>
      </c>
      <c r="I490" t="s">
        <v>24</v>
      </c>
      <c r="J490" t="s">
        <v>19</v>
      </c>
      <c r="K490">
        <f t="shared" si="7"/>
        <v>4379.5499999999993</v>
      </c>
    </row>
    <row r="491" spans="1:11">
      <c r="A491">
        <v>490</v>
      </c>
      <c r="B491" s="1">
        <v>45566</v>
      </c>
      <c r="C491" t="s">
        <v>14</v>
      </c>
      <c r="D491" t="s">
        <v>15</v>
      </c>
      <c r="E491">
        <v>1445.15</v>
      </c>
      <c r="F491">
        <v>1</v>
      </c>
      <c r="G491">
        <v>0.09</v>
      </c>
      <c r="H491">
        <v>0.35</v>
      </c>
      <c r="I491" t="s">
        <v>16</v>
      </c>
      <c r="J491" t="s">
        <v>157</v>
      </c>
      <c r="K491">
        <f t="shared" si="7"/>
        <v>1445.15</v>
      </c>
    </row>
    <row r="492" spans="1:11">
      <c r="A492">
        <v>491</v>
      </c>
      <c r="B492" s="1">
        <v>45577</v>
      </c>
      <c r="C492" t="s">
        <v>26</v>
      </c>
      <c r="D492" t="s">
        <v>11</v>
      </c>
      <c r="E492">
        <v>1312.31</v>
      </c>
      <c r="F492">
        <v>5</v>
      </c>
      <c r="G492">
        <v>0.16</v>
      </c>
      <c r="H492">
        <v>0.13</v>
      </c>
      <c r="I492" t="s">
        <v>24</v>
      </c>
      <c r="J492" t="s">
        <v>114</v>
      </c>
      <c r="K492">
        <f t="shared" si="7"/>
        <v>6561.5499999999993</v>
      </c>
    </row>
    <row r="493" spans="1:11">
      <c r="A493">
        <v>492</v>
      </c>
      <c r="B493" s="1">
        <v>45494</v>
      </c>
      <c r="C493" t="s">
        <v>31</v>
      </c>
      <c r="D493" t="s">
        <v>11</v>
      </c>
      <c r="E493">
        <v>93.03</v>
      </c>
      <c r="F493">
        <v>1</v>
      </c>
      <c r="G493">
        <v>0.14000000000000001</v>
      </c>
      <c r="H493">
        <v>0.19</v>
      </c>
      <c r="I493" t="s">
        <v>21</v>
      </c>
      <c r="J493" t="s">
        <v>272</v>
      </c>
      <c r="K493">
        <f t="shared" si="7"/>
        <v>93.03</v>
      </c>
    </row>
    <row r="494" spans="1:11">
      <c r="A494">
        <v>493</v>
      </c>
      <c r="B494" s="1">
        <v>45487</v>
      </c>
      <c r="C494" t="s">
        <v>10</v>
      </c>
      <c r="D494" t="s">
        <v>11</v>
      </c>
      <c r="E494">
        <v>134.51</v>
      </c>
      <c r="F494">
        <v>1</v>
      </c>
      <c r="G494">
        <v>0.09</v>
      </c>
      <c r="H494">
        <v>0.32</v>
      </c>
      <c r="I494" t="s">
        <v>12</v>
      </c>
      <c r="J494" t="s">
        <v>101</v>
      </c>
      <c r="K494">
        <f t="shared" si="7"/>
        <v>134.51</v>
      </c>
    </row>
    <row r="495" spans="1:11">
      <c r="A495">
        <v>494</v>
      </c>
      <c r="B495" s="1">
        <v>45401</v>
      </c>
      <c r="C495" t="s">
        <v>26</v>
      </c>
      <c r="D495" t="s">
        <v>11</v>
      </c>
      <c r="E495">
        <v>120.12</v>
      </c>
      <c r="F495">
        <v>4</v>
      </c>
      <c r="G495">
        <v>0.26</v>
      </c>
      <c r="H495">
        <v>0.3</v>
      </c>
      <c r="I495" t="s">
        <v>16</v>
      </c>
      <c r="J495" t="s">
        <v>186</v>
      </c>
      <c r="K495">
        <f t="shared" si="7"/>
        <v>480.48</v>
      </c>
    </row>
    <row r="496" spans="1:11">
      <c r="A496">
        <v>495</v>
      </c>
      <c r="B496" s="1">
        <v>45559</v>
      </c>
      <c r="C496" t="s">
        <v>20</v>
      </c>
      <c r="D496" t="s">
        <v>15</v>
      </c>
      <c r="E496">
        <v>527.1</v>
      </c>
      <c r="F496">
        <v>5</v>
      </c>
      <c r="G496">
        <v>0.25</v>
      </c>
      <c r="H496">
        <v>0.19</v>
      </c>
      <c r="I496" t="s">
        <v>24</v>
      </c>
      <c r="J496" t="s">
        <v>49</v>
      </c>
      <c r="K496">
        <f t="shared" si="7"/>
        <v>2635.5</v>
      </c>
    </row>
    <row r="497" spans="1:11">
      <c r="A497">
        <v>496</v>
      </c>
      <c r="B497" s="1">
        <v>45595</v>
      </c>
      <c r="C497" t="s">
        <v>14</v>
      </c>
      <c r="D497" t="s">
        <v>15</v>
      </c>
      <c r="E497">
        <v>884.64</v>
      </c>
      <c r="F497">
        <v>2</v>
      </c>
      <c r="G497">
        <v>0.17</v>
      </c>
      <c r="H497">
        <v>0.3</v>
      </c>
      <c r="I497" t="s">
        <v>12</v>
      </c>
      <c r="J497" t="s">
        <v>189</v>
      </c>
      <c r="K497">
        <f t="shared" si="7"/>
        <v>1769.28</v>
      </c>
    </row>
    <row r="498" spans="1:11">
      <c r="A498">
        <v>497</v>
      </c>
      <c r="B498" s="1">
        <v>45492</v>
      </c>
      <c r="C498" t="s">
        <v>14</v>
      </c>
      <c r="D498" t="s">
        <v>15</v>
      </c>
      <c r="E498">
        <v>1251.28</v>
      </c>
      <c r="F498">
        <v>3</v>
      </c>
      <c r="G498">
        <v>0.15</v>
      </c>
      <c r="H498">
        <v>0.32</v>
      </c>
      <c r="I498" t="s">
        <v>16</v>
      </c>
      <c r="J498" t="s">
        <v>66</v>
      </c>
      <c r="K498">
        <f t="shared" si="7"/>
        <v>3753.84</v>
      </c>
    </row>
    <row r="499" spans="1:11">
      <c r="A499">
        <v>498</v>
      </c>
      <c r="B499" s="1">
        <v>45356</v>
      </c>
      <c r="C499" t="s">
        <v>23</v>
      </c>
      <c r="D499" t="s">
        <v>15</v>
      </c>
      <c r="E499">
        <v>1366.7</v>
      </c>
      <c r="F499">
        <v>4</v>
      </c>
      <c r="G499">
        <v>0.26</v>
      </c>
      <c r="H499">
        <v>0.12</v>
      </c>
      <c r="I499" t="s">
        <v>16</v>
      </c>
      <c r="J499" t="s">
        <v>246</v>
      </c>
      <c r="K499">
        <f t="shared" si="7"/>
        <v>5466.8</v>
      </c>
    </row>
    <row r="500" spans="1:11">
      <c r="A500">
        <v>499</v>
      </c>
      <c r="B500" s="1">
        <v>45306</v>
      </c>
      <c r="C500" t="s">
        <v>14</v>
      </c>
      <c r="D500" t="s">
        <v>15</v>
      </c>
      <c r="E500">
        <v>62.08</v>
      </c>
      <c r="F500">
        <v>4</v>
      </c>
      <c r="G500">
        <v>0.27</v>
      </c>
      <c r="H500">
        <v>0.24</v>
      </c>
      <c r="I500" t="s">
        <v>21</v>
      </c>
      <c r="J500" t="s">
        <v>257</v>
      </c>
      <c r="K500">
        <f t="shared" si="7"/>
        <v>248.32</v>
      </c>
    </row>
    <row r="501" spans="1:11">
      <c r="A501">
        <v>500</v>
      </c>
      <c r="B501" s="1">
        <v>45312</v>
      </c>
      <c r="C501" t="s">
        <v>23</v>
      </c>
      <c r="D501" t="s">
        <v>15</v>
      </c>
      <c r="E501">
        <v>912.84</v>
      </c>
      <c r="F501">
        <v>2</v>
      </c>
      <c r="G501">
        <v>0.05</v>
      </c>
      <c r="H501">
        <v>0.15</v>
      </c>
      <c r="I501" t="s">
        <v>24</v>
      </c>
      <c r="J501" t="s">
        <v>88</v>
      </c>
      <c r="K501">
        <f t="shared" si="7"/>
        <v>1825.68</v>
      </c>
    </row>
    <row r="502" spans="1:11">
      <c r="A502">
        <v>501</v>
      </c>
      <c r="B502" s="1">
        <v>45602</v>
      </c>
      <c r="C502" t="s">
        <v>14</v>
      </c>
      <c r="D502" t="s">
        <v>15</v>
      </c>
      <c r="E502">
        <v>956.18</v>
      </c>
      <c r="F502">
        <v>4</v>
      </c>
      <c r="G502">
        <v>0.24</v>
      </c>
      <c r="H502">
        <v>0.28999999999999998</v>
      </c>
      <c r="I502" t="s">
        <v>12</v>
      </c>
      <c r="J502" t="s">
        <v>273</v>
      </c>
      <c r="K502">
        <f t="shared" si="7"/>
        <v>3824.72</v>
      </c>
    </row>
    <row r="503" spans="1:11">
      <c r="A503">
        <v>502</v>
      </c>
      <c r="B503" s="1">
        <v>45358</v>
      </c>
      <c r="C503" t="s">
        <v>23</v>
      </c>
      <c r="D503" t="s">
        <v>15</v>
      </c>
      <c r="E503">
        <v>780.74</v>
      </c>
      <c r="F503">
        <v>4</v>
      </c>
      <c r="G503">
        <v>7.0000000000000007E-2</v>
      </c>
      <c r="H503">
        <v>0.34</v>
      </c>
      <c r="I503" t="s">
        <v>12</v>
      </c>
      <c r="J503" t="s">
        <v>274</v>
      </c>
      <c r="K503">
        <f t="shared" si="7"/>
        <v>3122.96</v>
      </c>
    </row>
    <row r="504" spans="1:11">
      <c r="A504">
        <v>503</v>
      </c>
      <c r="B504" s="1">
        <v>45652</v>
      </c>
      <c r="C504" t="s">
        <v>26</v>
      </c>
      <c r="D504" t="s">
        <v>11</v>
      </c>
      <c r="E504">
        <v>987.03</v>
      </c>
      <c r="F504">
        <v>2</v>
      </c>
      <c r="G504">
        <v>0.08</v>
      </c>
      <c r="H504">
        <v>0.24</v>
      </c>
      <c r="I504" t="s">
        <v>24</v>
      </c>
      <c r="J504" t="s">
        <v>97</v>
      </c>
      <c r="K504">
        <f t="shared" si="7"/>
        <v>1974.06</v>
      </c>
    </row>
    <row r="505" spans="1:11">
      <c r="A505">
        <v>504</v>
      </c>
      <c r="B505" s="1">
        <v>45553</v>
      </c>
      <c r="C505" t="s">
        <v>31</v>
      </c>
      <c r="D505" t="s">
        <v>11</v>
      </c>
      <c r="E505">
        <v>771.74</v>
      </c>
      <c r="F505">
        <v>1</v>
      </c>
      <c r="G505">
        <v>0</v>
      </c>
      <c r="H505">
        <v>0.11</v>
      </c>
      <c r="I505" t="s">
        <v>21</v>
      </c>
      <c r="J505" t="s">
        <v>74</v>
      </c>
      <c r="K505">
        <f t="shared" si="7"/>
        <v>771.74</v>
      </c>
    </row>
    <row r="506" spans="1:11">
      <c r="A506">
        <v>505</v>
      </c>
      <c r="B506" s="1">
        <v>45384</v>
      </c>
      <c r="C506" t="s">
        <v>10</v>
      </c>
      <c r="D506" t="s">
        <v>11</v>
      </c>
      <c r="E506">
        <v>92.33</v>
      </c>
      <c r="F506">
        <v>3</v>
      </c>
      <c r="G506">
        <v>0.08</v>
      </c>
      <c r="H506">
        <v>0.39</v>
      </c>
      <c r="I506" t="s">
        <v>24</v>
      </c>
      <c r="J506" t="s">
        <v>168</v>
      </c>
      <c r="K506">
        <f t="shared" si="7"/>
        <v>276.99</v>
      </c>
    </row>
    <row r="507" spans="1:11">
      <c r="A507">
        <v>506</v>
      </c>
      <c r="B507" s="1">
        <v>45528</v>
      </c>
      <c r="C507" t="s">
        <v>20</v>
      </c>
      <c r="D507" t="s">
        <v>15</v>
      </c>
      <c r="E507">
        <v>722.63</v>
      </c>
      <c r="F507">
        <v>3</v>
      </c>
      <c r="G507">
        <v>0.06</v>
      </c>
      <c r="H507">
        <v>0.28000000000000003</v>
      </c>
      <c r="I507" t="s">
        <v>24</v>
      </c>
      <c r="J507" t="s">
        <v>222</v>
      </c>
      <c r="K507">
        <f t="shared" si="7"/>
        <v>2167.89</v>
      </c>
    </row>
    <row r="508" spans="1:11">
      <c r="A508">
        <v>507</v>
      </c>
      <c r="B508" s="1">
        <v>45593</v>
      </c>
      <c r="C508" t="s">
        <v>23</v>
      </c>
      <c r="D508" t="s">
        <v>15</v>
      </c>
      <c r="E508">
        <v>724.58</v>
      </c>
      <c r="F508">
        <v>1</v>
      </c>
      <c r="G508">
        <v>0.15</v>
      </c>
      <c r="H508">
        <v>0.1</v>
      </c>
      <c r="I508" t="s">
        <v>16</v>
      </c>
      <c r="J508" t="s">
        <v>182</v>
      </c>
      <c r="K508">
        <f t="shared" si="7"/>
        <v>724.58</v>
      </c>
    </row>
    <row r="509" spans="1:11">
      <c r="A509">
        <v>508</v>
      </c>
      <c r="B509" s="1">
        <v>45586</v>
      </c>
      <c r="C509" t="s">
        <v>20</v>
      </c>
      <c r="D509" t="s">
        <v>15</v>
      </c>
      <c r="E509">
        <v>98.01</v>
      </c>
      <c r="F509">
        <v>3</v>
      </c>
      <c r="G509">
        <v>0.25</v>
      </c>
      <c r="H509">
        <v>0.19</v>
      </c>
      <c r="I509" t="s">
        <v>24</v>
      </c>
      <c r="J509" t="s">
        <v>93</v>
      </c>
      <c r="K509">
        <f t="shared" si="7"/>
        <v>294.03000000000003</v>
      </c>
    </row>
    <row r="510" spans="1:11">
      <c r="A510">
        <v>509</v>
      </c>
      <c r="B510" s="1">
        <v>45601</v>
      </c>
      <c r="C510" t="s">
        <v>10</v>
      </c>
      <c r="D510" t="s">
        <v>11</v>
      </c>
      <c r="E510">
        <v>1208.81</v>
      </c>
      <c r="F510">
        <v>1</v>
      </c>
      <c r="G510">
        <v>7.0000000000000007E-2</v>
      </c>
      <c r="H510">
        <v>0.22</v>
      </c>
      <c r="I510" t="s">
        <v>21</v>
      </c>
      <c r="J510" t="s">
        <v>165</v>
      </c>
      <c r="K510">
        <f t="shared" si="7"/>
        <v>1208.81</v>
      </c>
    </row>
    <row r="511" spans="1:11">
      <c r="A511">
        <v>510</v>
      </c>
      <c r="B511" s="1">
        <v>45308</v>
      </c>
      <c r="C511" t="s">
        <v>14</v>
      </c>
      <c r="D511" t="s">
        <v>15</v>
      </c>
      <c r="E511">
        <v>1399.34</v>
      </c>
      <c r="F511">
        <v>1</v>
      </c>
      <c r="G511">
        <v>0.25</v>
      </c>
      <c r="H511">
        <v>0.19</v>
      </c>
      <c r="I511" t="s">
        <v>24</v>
      </c>
      <c r="J511" t="s">
        <v>275</v>
      </c>
      <c r="K511">
        <f t="shared" si="7"/>
        <v>1399.34</v>
      </c>
    </row>
    <row r="512" spans="1:11">
      <c r="A512">
        <v>511</v>
      </c>
      <c r="B512" s="1">
        <v>45330</v>
      </c>
      <c r="C512" t="s">
        <v>10</v>
      </c>
      <c r="D512" t="s">
        <v>11</v>
      </c>
      <c r="E512">
        <v>192.91</v>
      </c>
      <c r="F512">
        <v>3</v>
      </c>
      <c r="G512">
        <v>0.26</v>
      </c>
      <c r="H512">
        <v>0.27</v>
      </c>
      <c r="I512" t="s">
        <v>16</v>
      </c>
      <c r="J512" t="s">
        <v>276</v>
      </c>
      <c r="K512">
        <f t="shared" si="7"/>
        <v>578.73</v>
      </c>
    </row>
    <row r="513" spans="1:11">
      <c r="A513">
        <v>512</v>
      </c>
      <c r="B513" s="1">
        <v>45418</v>
      </c>
      <c r="C513" t="s">
        <v>14</v>
      </c>
      <c r="D513" t="s">
        <v>15</v>
      </c>
      <c r="E513">
        <v>752.98</v>
      </c>
      <c r="F513">
        <v>3</v>
      </c>
      <c r="G513">
        <v>0.01</v>
      </c>
      <c r="H513">
        <v>0.24</v>
      </c>
      <c r="I513" t="s">
        <v>12</v>
      </c>
      <c r="J513" t="s">
        <v>72</v>
      </c>
      <c r="K513">
        <f t="shared" si="7"/>
        <v>2258.94</v>
      </c>
    </row>
    <row r="514" spans="1:11">
      <c r="A514">
        <v>513</v>
      </c>
      <c r="B514" s="1">
        <v>45363</v>
      </c>
      <c r="C514" t="s">
        <v>10</v>
      </c>
      <c r="D514" t="s">
        <v>11</v>
      </c>
      <c r="E514">
        <v>430.23</v>
      </c>
      <c r="F514">
        <v>1</v>
      </c>
      <c r="G514">
        <v>0.12</v>
      </c>
      <c r="H514">
        <v>0.32</v>
      </c>
      <c r="I514" t="s">
        <v>12</v>
      </c>
      <c r="J514" t="s">
        <v>262</v>
      </c>
      <c r="K514">
        <f t="shared" si="7"/>
        <v>430.23</v>
      </c>
    </row>
    <row r="515" spans="1:11">
      <c r="A515">
        <v>514</v>
      </c>
      <c r="B515" s="1">
        <v>45592</v>
      </c>
      <c r="C515" t="s">
        <v>20</v>
      </c>
      <c r="D515" t="s">
        <v>15</v>
      </c>
      <c r="E515">
        <v>1363.73</v>
      </c>
      <c r="F515">
        <v>5</v>
      </c>
      <c r="G515">
        <v>0.08</v>
      </c>
      <c r="H515">
        <v>0.3</v>
      </c>
      <c r="I515" t="s">
        <v>12</v>
      </c>
      <c r="J515" t="s">
        <v>253</v>
      </c>
      <c r="K515">
        <f t="shared" si="7"/>
        <v>6818.65</v>
      </c>
    </row>
    <row r="516" spans="1:11">
      <c r="A516">
        <v>515</v>
      </c>
      <c r="B516" s="1">
        <v>45638</v>
      </c>
      <c r="C516" t="s">
        <v>31</v>
      </c>
      <c r="D516" t="s">
        <v>11</v>
      </c>
      <c r="E516">
        <v>1084.68</v>
      </c>
      <c r="F516">
        <v>4</v>
      </c>
      <c r="G516">
        <v>0.25</v>
      </c>
      <c r="H516">
        <v>0.1</v>
      </c>
      <c r="I516" t="s">
        <v>24</v>
      </c>
      <c r="J516" t="s">
        <v>80</v>
      </c>
      <c r="K516">
        <f t="shared" ref="K516:K579" si="8">E516*F516</f>
        <v>4338.72</v>
      </c>
    </row>
    <row r="517" spans="1:11">
      <c r="A517">
        <v>516</v>
      </c>
      <c r="B517" s="1">
        <v>45631</v>
      </c>
      <c r="C517" t="s">
        <v>20</v>
      </c>
      <c r="D517" t="s">
        <v>15</v>
      </c>
      <c r="E517">
        <v>28.1</v>
      </c>
      <c r="F517">
        <v>5</v>
      </c>
      <c r="G517">
        <v>0.25</v>
      </c>
      <c r="H517">
        <v>0.11</v>
      </c>
      <c r="I517" t="s">
        <v>24</v>
      </c>
      <c r="J517" t="s">
        <v>71</v>
      </c>
      <c r="K517">
        <f t="shared" si="8"/>
        <v>140.5</v>
      </c>
    </row>
    <row r="518" spans="1:11">
      <c r="A518">
        <v>517</v>
      </c>
      <c r="B518" s="1">
        <v>45373</v>
      </c>
      <c r="C518" t="s">
        <v>23</v>
      </c>
      <c r="D518" t="s">
        <v>15</v>
      </c>
      <c r="E518">
        <v>1037.72</v>
      </c>
      <c r="F518">
        <v>2</v>
      </c>
      <c r="G518">
        <v>0.2</v>
      </c>
      <c r="H518">
        <v>0.34</v>
      </c>
      <c r="I518" t="s">
        <v>24</v>
      </c>
      <c r="J518" t="s">
        <v>135</v>
      </c>
      <c r="K518">
        <f t="shared" si="8"/>
        <v>2075.44</v>
      </c>
    </row>
    <row r="519" spans="1:11">
      <c r="A519">
        <v>518</v>
      </c>
      <c r="B519" s="1">
        <v>45623</v>
      </c>
      <c r="C519" t="s">
        <v>20</v>
      </c>
      <c r="D519" t="s">
        <v>15</v>
      </c>
      <c r="E519">
        <v>161.12</v>
      </c>
      <c r="F519">
        <v>4</v>
      </c>
      <c r="G519">
        <v>0.16</v>
      </c>
      <c r="H519">
        <v>0.37</v>
      </c>
      <c r="I519" t="s">
        <v>16</v>
      </c>
      <c r="J519" t="s">
        <v>199</v>
      </c>
      <c r="K519">
        <f t="shared" si="8"/>
        <v>644.48</v>
      </c>
    </row>
    <row r="520" spans="1:11">
      <c r="A520">
        <v>519</v>
      </c>
      <c r="B520" s="1">
        <v>45396</v>
      </c>
      <c r="C520" t="s">
        <v>20</v>
      </c>
      <c r="D520" t="s">
        <v>15</v>
      </c>
      <c r="E520">
        <v>143.27000000000001</v>
      </c>
      <c r="F520">
        <v>1</v>
      </c>
      <c r="G520">
        <v>0.28000000000000003</v>
      </c>
      <c r="H520">
        <v>0.3</v>
      </c>
      <c r="I520" t="s">
        <v>21</v>
      </c>
      <c r="J520" t="s">
        <v>79</v>
      </c>
      <c r="K520">
        <f t="shared" si="8"/>
        <v>143.27000000000001</v>
      </c>
    </row>
    <row r="521" spans="1:11">
      <c r="A521">
        <v>520</v>
      </c>
      <c r="B521" s="1">
        <v>45501</v>
      </c>
      <c r="C521" t="s">
        <v>14</v>
      </c>
      <c r="D521" t="s">
        <v>15</v>
      </c>
      <c r="E521">
        <v>978.51</v>
      </c>
      <c r="F521">
        <v>3</v>
      </c>
      <c r="G521">
        <v>0.18</v>
      </c>
      <c r="H521">
        <v>0.1</v>
      </c>
      <c r="I521" t="s">
        <v>21</v>
      </c>
      <c r="J521" t="s">
        <v>37</v>
      </c>
      <c r="K521">
        <f t="shared" si="8"/>
        <v>2935.5299999999997</v>
      </c>
    </row>
    <row r="522" spans="1:11">
      <c r="A522">
        <v>521</v>
      </c>
      <c r="B522" s="1">
        <v>45375</v>
      </c>
      <c r="C522" t="s">
        <v>14</v>
      </c>
      <c r="D522" t="s">
        <v>15</v>
      </c>
      <c r="E522">
        <v>229.84</v>
      </c>
      <c r="F522">
        <v>1</v>
      </c>
      <c r="G522">
        <v>0.18</v>
      </c>
      <c r="H522">
        <v>0.36</v>
      </c>
      <c r="I522" t="s">
        <v>16</v>
      </c>
      <c r="J522" t="s">
        <v>250</v>
      </c>
      <c r="K522">
        <f t="shared" si="8"/>
        <v>229.84</v>
      </c>
    </row>
    <row r="523" spans="1:11">
      <c r="A523">
        <v>522</v>
      </c>
      <c r="B523" s="1">
        <v>45641</v>
      </c>
      <c r="C523" t="s">
        <v>26</v>
      </c>
      <c r="D523" t="s">
        <v>11</v>
      </c>
      <c r="E523">
        <v>965.87</v>
      </c>
      <c r="F523">
        <v>5</v>
      </c>
      <c r="G523">
        <v>0.27</v>
      </c>
      <c r="H523">
        <v>0.12</v>
      </c>
      <c r="I523" t="s">
        <v>12</v>
      </c>
      <c r="J523" t="s">
        <v>22</v>
      </c>
      <c r="K523">
        <f t="shared" si="8"/>
        <v>4829.3500000000004</v>
      </c>
    </row>
    <row r="524" spans="1:11">
      <c r="A524">
        <v>523</v>
      </c>
      <c r="B524" s="1">
        <v>45526</v>
      </c>
      <c r="C524" t="s">
        <v>10</v>
      </c>
      <c r="D524" t="s">
        <v>11</v>
      </c>
      <c r="E524">
        <v>234.65</v>
      </c>
      <c r="F524">
        <v>1</v>
      </c>
      <c r="G524">
        <v>0.21</v>
      </c>
      <c r="H524">
        <v>0.26</v>
      </c>
      <c r="I524" t="s">
        <v>12</v>
      </c>
      <c r="J524" t="s">
        <v>178</v>
      </c>
      <c r="K524">
        <f t="shared" si="8"/>
        <v>234.65</v>
      </c>
    </row>
    <row r="525" spans="1:11">
      <c r="A525">
        <v>524</v>
      </c>
      <c r="B525" s="1">
        <v>45353</v>
      </c>
      <c r="C525" t="s">
        <v>20</v>
      </c>
      <c r="D525" t="s">
        <v>15</v>
      </c>
      <c r="E525">
        <v>741.85</v>
      </c>
      <c r="F525">
        <v>5</v>
      </c>
      <c r="G525">
        <v>0.12</v>
      </c>
      <c r="H525">
        <v>0.37</v>
      </c>
      <c r="I525" t="s">
        <v>21</v>
      </c>
      <c r="J525" t="s">
        <v>64</v>
      </c>
      <c r="K525">
        <f t="shared" si="8"/>
        <v>3709.25</v>
      </c>
    </row>
    <row r="526" spans="1:11">
      <c r="A526">
        <v>525</v>
      </c>
      <c r="B526" s="1">
        <v>45575</v>
      </c>
      <c r="C526" t="s">
        <v>20</v>
      </c>
      <c r="D526" t="s">
        <v>15</v>
      </c>
      <c r="E526">
        <v>849</v>
      </c>
      <c r="F526">
        <v>1</v>
      </c>
      <c r="G526">
        <v>0.22</v>
      </c>
      <c r="H526">
        <v>0.3</v>
      </c>
      <c r="I526" t="s">
        <v>12</v>
      </c>
      <c r="J526" t="s">
        <v>277</v>
      </c>
      <c r="K526">
        <f t="shared" si="8"/>
        <v>849</v>
      </c>
    </row>
    <row r="527" spans="1:11">
      <c r="A527">
        <v>526</v>
      </c>
      <c r="B527" s="1">
        <v>45364</v>
      </c>
      <c r="C527" t="s">
        <v>23</v>
      </c>
      <c r="D527" t="s">
        <v>15</v>
      </c>
      <c r="E527">
        <v>596.4</v>
      </c>
      <c r="F527">
        <v>3</v>
      </c>
      <c r="G527">
        <v>0.13</v>
      </c>
      <c r="H527">
        <v>0.3</v>
      </c>
      <c r="I527" t="s">
        <v>21</v>
      </c>
      <c r="J527" t="s">
        <v>278</v>
      </c>
      <c r="K527">
        <f t="shared" si="8"/>
        <v>1789.1999999999998</v>
      </c>
    </row>
    <row r="528" spans="1:11">
      <c r="A528">
        <v>527</v>
      </c>
      <c r="B528" s="1">
        <v>45579</v>
      </c>
      <c r="C528" t="s">
        <v>31</v>
      </c>
      <c r="D528" t="s">
        <v>11</v>
      </c>
      <c r="E528">
        <v>476.81</v>
      </c>
      <c r="F528">
        <v>2</v>
      </c>
      <c r="G528">
        <v>0.18</v>
      </c>
      <c r="H528">
        <v>0.17</v>
      </c>
      <c r="I528" t="s">
        <v>16</v>
      </c>
      <c r="J528" t="s">
        <v>82</v>
      </c>
      <c r="K528">
        <f t="shared" si="8"/>
        <v>953.62</v>
      </c>
    </row>
    <row r="529" spans="1:11">
      <c r="A529">
        <v>528</v>
      </c>
      <c r="B529" s="1">
        <v>45314</v>
      </c>
      <c r="C529" t="s">
        <v>23</v>
      </c>
      <c r="D529" t="s">
        <v>15</v>
      </c>
      <c r="E529">
        <v>1238.07</v>
      </c>
      <c r="F529">
        <v>4</v>
      </c>
      <c r="G529">
        <v>0.17</v>
      </c>
      <c r="H529">
        <v>0.33</v>
      </c>
      <c r="I529" t="s">
        <v>24</v>
      </c>
      <c r="J529" t="s">
        <v>267</v>
      </c>
      <c r="K529">
        <f t="shared" si="8"/>
        <v>4952.28</v>
      </c>
    </row>
    <row r="530" spans="1:11">
      <c r="A530">
        <v>529</v>
      </c>
      <c r="B530" s="1">
        <v>45458</v>
      </c>
      <c r="C530" t="s">
        <v>20</v>
      </c>
      <c r="D530" t="s">
        <v>15</v>
      </c>
      <c r="E530">
        <v>495.33</v>
      </c>
      <c r="F530">
        <v>2</v>
      </c>
      <c r="G530">
        <v>0.11</v>
      </c>
      <c r="H530">
        <v>0.11</v>
      </c>
      <c r="I530" t="s">
        <v>16</v>
      </c>
      <c r="J530" t="s">
        <v>158</v>
      </c>
      <c r="K530">
        <f t="shared" si="8"/>
        <v>990.66</v>
      </c>
    </row>
    <row r="531" spans="1:11">
      <c r="A531">
        <v>530</v>
      </c>
      <c r="B531" s="1">
        <v>45347</v>
      </c>
      <c r="C531" t="s">
        <v>31</v>
      </c>
      <c r="D531" t="s">
        <v>11</v>
      </c>
      <c r="E531">
        <v>779.73</v>
      </c>
      <c r="F531">
        <v>4</v>
      </c>
      <c r="G531">
        <v>0.13</v>
      </c>
      <c r="H531">
        <v>0.14000000000000001</v>
      </c>
      <c r="I531" t="s">
        <v>21</v>
      </c>
      <c r="J531" t="s">
        <v>228</v>
      </c>
      <c r="K531">
        <f t="shared" si="8"/>
        <v>3118.92</v>
      </c>
    </row>
    <row r="532" spans="1:11">
      <c r="A532">
        <v>531</v>
      </c>
      <c r="B532" s="1">
        <v>45417</v>
      </c>
      <c r="C532" t="s">
        <v>14</v>
      </c>
      <c r="D532" t="s">
        <v>15</v>
      </c>
      <c r="E532">
        <v>1148.81</v>
      </c>
      <c r="F532">
        <v>4</v>
      </c>
      <c r="G532">
        <v>0.1</v>
      </c>
      <c r="H532">
        <v>0.26</v>
      </c>
      <c r="I532" t="s">
        <v>24</v>
      </c>
      <c r="J532" t="s">
        <v>279</v>
      </c>
      <c r="K532">
        <f t="shared" si="8"/>
        <v>4595.24</v>
      </c>
    </row>
    <row r="533" spans="1:11">
      <c r="A533">
        <v>532</v>
      </c>
      <c r="B533" s="1">
        <v>45467</v>
      </c>
      <c r="C533" t="s">
        <v>20</v>
      </c>
      <c r="D533" t="s">
        <v>15</v>
      </c>
      <c r="E533">
        <v>904.08</v>
      </c>
      <c r="F533">
        <v>1</v>
      </c>
      <c r="G533">
        <v>0.2</v>
      </c>
      <c r="H533">
        <v>0.28000000000000003</v>
      </c>
      <c r="I533" t="s">
        <v>12</v>
      </c>
      <c r="J533" t="s">
        <v>78</v>
      </c>
      <c r="K533">
        <f t="shared" si="8"/>
        <v>904.08</v>
      </c>
    </row>
    <row r="534" spans="1:11">
      <c r="A534">
        <v>533</v>
      </c>
      <c r="B534" s="1">
        <v>45404</v>
      </c>
      <c r="C534" t="s">
        <v>20</v>
      </c>
      <c r="D534" t="s">
        <v>15</v>
      </c>
      <c r="E534">
        <v>346.39</v>
      </c>
      <c r="F534">
        <v>4</v>
      </c>
      <c r="G534">
        <v>0.17</v>
      </c>
      <c r="H534">
        <v>0.13</v>
      </c>
      <c r="I534" t="s">
        <v>24</v>
      </c>
      <c r="J534" t="s">
        <v>242</v>
      </c>
      <c r="K534">
        <f t="shared" si="8"/>
        <v>1385.56</v>
      </c>
    </row>
    <row r="535" spans="1:11">
      <c r="A535">
        <v>534</v>
      </c>
      <c r="B535" s="1">
        <v>45358</v>
      </c>
      <c r="C535" t="s">
        <v>23</v>
      </c>
      <c r="D535" t="s">
        <v>15</v>
      </c>
      <c r="E535">
        <v>232.32</v>
      </c>
      <c r="F535">
        <v>5</v>
      </c>
      <c r="G535">
        <v>7.0000000000000007E-2</v>
      </c>
      <c r="H535">
        <v>0.39</v>
      </c>
      <c r="I535" t="s">
        <v>12</v>
      </c>
      <c r="J535" t="s">
        <v>67</v>
      </c>
      <c r="K535">
        <f t="shared" si="8"/>
        <v>1161.5999999999999</v>
      </c>
    </row>
    <row r="536" spans="1:11">
      <c r="A536">
        <v>535</v>
      </c>
      <c r="B536" s="1">
        <v>45654</v>
      </c>
      <c r="C536" t="s">
        <v>10</v>
      </c>
      <c r="D536" t="s">
        <v>11</v>
      </c>
      <c r="E536">
        <v>1446.93</v>
      </c>
      <c r="F536">
        <v>4</v>
      </c>
      <c r="G536">
        <v>0.03</v>
      </c>
      <c r="H536">
        <v>0.16</v>
      </c>
      <c r="I536" t="s">
        <v>21</v>
      </c>
      <c r="J536" t="s">
        <v>88</v>
      </c>
      <c r="K536">
        <f t="shared" si="8"/>
        <v>5787.72</v>
      </c>
    </row>
    <row r="537" spans="1:11">
      <c r="A537">
        <v>536</v>
      </c>
      <c r="B537" s="1">
        <v>45416</v>
      </c>
      <c r="C537" t="s">
        <v>10</v>
      </c>
      <c r="D537" t="s">
        <v>11</v>
      </c>
      <c r="E537">
        <v>597.28</v>
      </c>
      <c r="F537">
        <v>2</v>
      </c>
      <c r="G537">
        <v>0.12</v>
      </c>
      <c r="H537">
        <v>0.19</v>
      </c>
      <c r="I537" t="s">
        <v>12</v>
      </c>
      <c r="J537" t="s">
        <v>178</v>
      </c>
      <c r="K537">
        <f t="shared" si="8"/>
        <v>1194.56</v>
      </c>
    </row>
    <row r="538" spans="1:11">
      <c r="A538">
        <v>537</v>
      </c>
      <c r="B538" s="1">
        <v>45461</v>
      </c>
      <c r="C538" t="s">
        <v>10</v>
      </c>
      <c r="D538" t="s">
        <v>11</v>
      </c>
      <c r="E538">
        <v>701.32</v>
      </c>
      <c r="F538">
        <v>2</v>
      </c>
      <c r="G538">
        <v>0.27</v>
      </c>
      <c r="H538">
        <v>0.13</v>
      </c>
      <c r="I538" t="s">
        <v>16</v>
      </c>
      <c r="J538" t="s">
        <v>56</v>
      </c>
      <c r="K538">
        <f t="shared" si="8"/>
        <v>1402.64</v>
      </c>
    </row>
    <row r="539" spans="1:11">
      <c r="A539">
        <v>538</v>
      </c>
      <c r="B539" s="1">
        <v>45492</v>
      </c>
      <c r="C539" t="s">
        <v>26</v>
      </c>
      <c r="D539" t="s">
        <v>11</v>
      </c>
      <c r="E539">
        <v>577.84</v>
      </c>
      <c r="F539">
        <v>3</v>
      </c>
      <c r="G539">
        <v>0.27</v>
      </c>
      <c r="H539">
        <v>0.28000000000000003</v>
      </c>
      <c r="I539" t="s">
        <v>21</v>
      </c>
      <c r="J539" t="s">
        <v>69</v>
      </c>
      <c r="K539">
        <f t="shared" si="8"/>
        <v>1733.52</v>
      </c>
    </row>
    <row r="540" spans="1:11">
      <c r="A540">
        <v>539</v>
      </c>
      <c r="B540" s="1">
        <v>45400</v>
      </c>
      <c r="C540" t="s">
        <v>23</v>
      </c>
      <c r="D540" t="s">
        <v>15</v>
      </c>
      <c r="E540">
        <v>1476.42</v>
      </c>
      <c r="F540">
        <v>5</v>
      </c>
      <c r="G540">
        <v>0.18</v>
      </c>
      <c r="H540">
        <v>0.15</v>
      </c>
      <c r="I540" t="s">
        <v>21</v>
      </c>
      <c r="J540" t="s">
        <v>165</v>
      </c>
      <c r="K540">
        <f t="shared" si="8"/>
        <v>7382.1</v>
      </c>
    </row>
    <row r="541" spans="1:11">
      <c r="A541">
        <v>540</v>
      </c>
      <c r="B541" s="1">
        <v>45453</v>
      </c>
      <c r="C541" t="s">
        <v>20</v>
      </c>
      <c r="D541" t="s">
        <v>15</v>
      </c>
      <c r="E541">
        <v>1456.84</v>
      </c>
      <c r="F541">
        <v>4</v>
      </c>
      <c r="G541">
        <v>0.28999999999999998</v>
      </c>
      <c r="H541">
        <v>0.24</v>
      </c>
      <c r="I541" t="s">
        <v>12</v>
      </c>
      <c r="J541" t="s">
        <v>29</v>
      </c>
      <c r="K541">
        <f t="shared" si="8"/>
        <v>5827.36</v>
      </c>
    </row>
    <row r="542" spans="1:11">
      <c r="A542">
        <v>541</v>
      </c>
      <c r="B542" s="1">
        <v>45333</v>
      </c>
      <c r="C542" t="s">
        <v>14</v>
      </c>
      <c r="D542" t="s">
        <v>15</v>
      </c>
      <c r="E542">
        <v>273.3</v>
      </c>
      <c r="F542">
        <v>5</v>
      </c>
      <c r="G542">
        <v>0.25</v>
      </c>
      <c r="H542">
        <v>0.23</v>
      </c>
      <c r="I542" t="s">
        <v>12</v>
      </c>
      <c r="J542" t="s">
        <v>238</v>
      </c>
      <c r="K542">
        <f t="shared" si="8"/>
        <v>1366.5</v>
      </c>
    </row>
    <row r="543" spans="1:11">
      <c r="A543">
        <v>542</v>
      </c>
      <c r="B543" s="1">
        <v>45312</v>
      </c>
      <c r="C543" t="s">
        <v>10</v>
      </c>
      <c r="D543" t="s">
        <v>11</v>
      </c>
      <c r="E543">
        <v>1244.55</v>
      </c>
      <c r="F543">
        <v>5</v>
      </c>
      <c r="G543">
        <v>0.06</v>
      </c>
      <c r="H543">
        <v>0.12</v>
      </c>
      <c r="I543" t="s">
        <v>21</v>
      </c>
      <c r="J543" t="s">
        <v>81</v>
      </c>
      <c r="K543">
        <f t="shared" si="8"/>
        <v>6222.75</v>
      </c>
    </row>
    <row r="544" spans="1:11">
      <c r="A544">
        <v>543</v>
      </c>
      <c r="B544" s="1">
        <v>45571</v>
      </c>
      <c r="C544" t="s">
        <v>31</v>
      </c>
      <c r="D544" t="s">
        <v>11</v>
      </c>
      <c r="E544">
        <v>1450.47</v>
      </c>
      <c r="F544">
        <v>4</v>
      </c>
      <c r="G544">
        <v>0.1</v>
      </c>
      <c r="H544">
        <v>0.27</v>
      </c>
      <c r="I544" t="s">
        <v>12</v>
      </c>
      <c r="J544" t="s">
        <v>17</v>
      </c>
      <c r="K544">
        <f t="shared" si="8"/>
        <v>5801.88</v>
      </c>
    </row>
    <row r="545" spans="1:11">
      <c r="A545">
        <v>544</v>
      </c>
      <c r="B545" s="1">
        <v>45564</v>
      </c>
      <c r="C545" t="s">
        <v>10</v>
      </c>
      <c r="D545" t="s">
        <v>11</v>
      </c>
      <c r="E545">
        <v>1499.58</v>
      </c>
      <c r="F545">
        <v>5</v>
      </c>
      <c r="G545">
        <v>0.19</v>
      </c>
      <c r="H545">
        <v>0.25</v>
      </c>
      <c r="I545" t="s">
        <v>24</v>
      </c>
      <c r="J545" t="s">
        <v>102</v>
      </c>
      <c r="K545">
        <f t="shared" si="8"/>
        <v>7497.9</v>
      </c>
    </row>
    <row r="546" spans="1:11">
      <c r="A546">
        <v>545</v>
      </c>
      <c r="B546" s="1">
        <v>45541</v>
      </c>
      <c r="C546" t="s">
        <v>10</v>
      </c>
      <c r="D546" t="s">
        <v>11</v>
      </c>
      <c r="E546">
        <v>1108.5</v>
      </c>
      <c r="F546">
        <v>2</v>
      </c>
      <c r="G546">
        <v>0.19</v>
      </c>
      <c r="H546">
        <v>0.27</v>
      </c>
      <c r="I546" t="s">
        <v>16</v>
      </c>
      <c r="J546" t="s">
        <v>278</v>
      </c>
      <c r="K546">
        <f t="shared" si="8"/>
        <v>2217</v>
      </c>
    </row>
    <row r="547" spans="1:11">
      <c r="A547">
        <v>546</v>
      </c>
      <c r="B547" s="1">
        <v>45392</v>
      </c>
      <c r="C547" t="s">
        <v>14</v>
      </c>
      <c r="D547" t="s">
        <v>15</v>
      </c>
      <c r="E547">
        <v>705.63</v>
      </c>
      <c r="F547">
        <v>5</v>
      </c>
      <c r="G547">
        <v>0.04</v>
      </c>
      <c r="H547">
        <v>0.36</v>
      </c>
      <c r="I547" t="s">
        <v>12</v>
      </c>
      <c r="J547" t="s">
        <v>133</v>
      </c>
      <c r="K547">
        <f t="shared" si="8"/>
        <v>3528.15</v>
      </c>
    </row>
    <row r="548" spans="1:11">
      <c r="A548">
        <v>547</v>
      </c>
      <c r="B548" s="1">
        <v>45645</v>
      </c>
      <c r="C548" t="s">
        <v>23</v>
      </c>
      <c r="D548" t="s">
        <v>15</v>
      </c>
      <c r="E548">
        <v>825.96</v>
      </c>
      <c r="F548">
        <v>3</v>
      </c>
      <c r="G548">
        <v>0.04</v>
      </c>
      <c r="H548">
        <v>0.28000000000000003</v>
      </c>
      <c r="I548" t="s">
        <v>16</v>
      </c>
      <c r="J548" t="s">
        <v>51</v>
      </c>
      <c r="K548">
        <f t="shared" si="8"/>
        <v>2477.88</v>
      </c>
    </row>
    <row r="549" spans="1:11">
      <c r="A549">
        <v>548</v>
      </c>
      <c r="B549" s="1">
        <v>45537</v>
      </c>
      <c r="C549" t="s">
        <v>26</v>
      </c>
      <c r="D549" t="s">
        <v>11</v>
      </c>
      <c r="E549">
        <v>1090.1600000000001</v>
      </c>
      <c r="F549">
        <v>5</v>
      </c>
      <c r="G549">
        <v>0.14000000000000001</v>
      </c>
      <c r="H549">
        <v>0.11</v>
      </c>
      <c r="I549" t="s">
        <v>24</v>
      </c>
      <c r="J549" t="s">
        <v>25</v>
      </c>
      <c r="K549">
        <f t="shared" si="8"/>
        <v>5450.8</v>
      </c>
    </row>
    <row r="550" spans="1:11">
      <c r="A550">
        <v>549</v>
      </c>
      <c r="B550" s="1">
        <v>45337</v>
      </c>
      <c r="C550" t="s">
        <v>10</v>
      </c>
      <c r="D550" t="s">
        <v>11</v>
      </c>
      <c r="E550">
        <v>1191</v>
      </c>
      <c r="F550">
        <v>4</v>
      </c>
      <c r="G550">
        <v>0.02</v>
      </c>
      <c r="H550">
        <v>0.3</v>
      </c>
      <c r="I550" t="s">
        <v>12</v>
      </c>
      <c r="J550" t="s">
        <v>181</v>
      </c>
      <c r="K550">
        <f t="shared" si="8"/>
        <v>4764</v>
      </c>
    </row>
    <row r="551" spans="1:11">
      <c r="A551">
        <v>550</v>
      </c>
      <c r="B551" s="1">
        <v>45399</v>
      </c>
      <c r="C551" t="s">
        <v>26</v>
      </c>
      <c r="D551" t="s">
        <v>11</v>
      </c>
      <c r="E551">
        <v>75.83</v>
      </c>
      <c r="F551">
        <v>1</v>
      </c>
      <c r="G551">
        <v>0.28000000000000003</v>
      </c>
      <c r="H551">
        <v>0.25</v>
      </c>
      <c r="I551" t="s">
        <v>24</v>
      </c>
      <c r="J551" t="s">
        <v>159</v>
      </c>
      <c r="K551">
        <f t="shared" si="8"/>
        <v>75.83</v>
      </c>
    </row>
    <row r="552" spans="1:11">
      <c r="A552">
        <v>551</v>
      </c>
      <c r="B552" s="1">
        <v>45507</v>
      </c>
      <c r="C552" t="s">
        <v>26</v>
      </c>
      <c r="D552" t="s">
        <v>11</v>
      </c>
      <c r="E552">
        <v>738.03</v>
      </c>
      <c r="F552">
        <v>2</v>
      </c>
      <c r="G552">
        <v>0.15</v>
      </c>
      <c r="H552">
        <v>0.26</v>
      </c>
      <c r="I552" t="s">
        <v>12</v>
      </c>
      <c r="J552" t="s">
        <v>96</v>
      </c>
      <c r="K552">
        <f t="shared" si="8"/>
        <v>1476.06</v>
      </c>
    </row>
    <row r="553" spans="1:11">
      <c r="A553">
        <v>552</v>
      </c>
      <c r="B553" s="1">
        <v>45533</v>
      </c>
      <c r="C553" t="s">
        <v>14</v>
      </c>
      <c r="D553" t="s">
        <v>15</v>
      </c>
      <c r="E553">
        <v>675.8</v>
      </c>
      <c r="F553">
        <v>3</v>
      </c>
      <c r="G553">
        <v>0.15</v>
      </c>
      <c r="H553">
        <v>0.25</v>
      </c>
      <c r="I553" t="s">
        <v>12</v>
      </c>
      <c r="J553" t="s">
        <v>153</v>
      </c>
      <c r="K553">
        <f t="shared" si="8"/>
        <v>2027.3999999999999</v>
      </c>
    </row>
    <row r="554" spans="1:11">
      <c r="A554">
        <v>553</v>
      </c>
      <c r="B554" s="1">
        <v>45466</v>
      </c>
      <c r="C554" t="s">
        <v>23</v>
      </c>
      <c r="D554" t="s">
        <v>15</v>
      </c>
      <c r="E554">
        <v>1095.43</v>
      </c>
      <c r="F554">
        <v>5</v>
      </c>
      <c r="G554">
        <v>0.28999999999999998</v>
      </c>
      <c r="H554">
        <v>0.22</v>
      </c>
      <c r="I554" t="s">
        <v>21</v>
      </c>
      <c r="J554" t="s">
        <v>264</v>
      </c>
      <c r="K554">
        <f t="shared" si="8"/>
        <v>5477.1500000000005</v>
      </c>
    </row>
    <row r="555" spans="1:11">
      <c r="A555">
        <v>554</v>
      </c>
      <c r="B555" s="1">
        <v>45620</v>
      </c>
      <c r="C555" t="s">
        <v>26</v>
      </c>
      <c r="D555" t="s">
        <v>11</v>
      </c>
      <c r="E555">
        <v>1152.68</v>
      </c>
      <c r="F555">
        <v>4</v>
      </c>
      <c r="G555">
        <v>0.24</v>
      </c>
      <c r="H555">
        <v>0.24</v>
      </c>
      <c r="I555" t="s">
        <v>16</v>
      </c>
      <c r="J555" t="s">
        <v>280</v>
      </c>
      <c r="K555">
        <f t="shared" si="8"/>
        <v>4610.72</v>
      </c>
    </row>
    <row r="556" spans="1:11">
      <c r="A556">
        <v>555</v>
      </c>
      <c r="B556" s="1">
        <v>45643</v>
      </c>
      <c r="C556" t="s">
        <v>20</v>
      </c>
      <c r="D556" t="s">
        <v>15</v>
      </c>
      <c r="E556">
        <v>112.72</v>
      </c>
      <c r="F556">
        <v>5</v>
      </c>
      <c r="G556">
        <v>0.13</v>
      </c>
      <c r="H556">
        <v>0.35</v>
      </c>
      <c r="I556" t="s">
        <v>24</v>
      </c>
      <c r="J556" t="s">
        <v>281</v>
      </c>
      <c r="K556">
        <f t="shared" si="8"/>
        <v>563.6</v>
      </c>
    </row>
    <row r="557" spans="1:11">
      <c r="A557">
        <v>556</v>
      </c>
      <c r="B557" s="1">
        <v>45480</v>
      </c>
      <c r="C557" t="s">
        <v>10</v>
      </c>
      <c r="D557" t="s">
        <v>11</v>
      </c>
      <c r="E557">
        <v>379.56</v>
      </c>
      <c r="F557">
        <v>3</v>
      </c>
      <c r="G557">
        <v>0.13</v>
      </c>
      <c r="H557">
        <v>0.25</v>
      </c>
      <c r="I557" t="s">
        <v>12</v>
      </c>
      <c r="J557" t="s">
        <v>282</v>
      </c>
      <c r="K557">
        <f t="shared" si="8"/>
        <v>1138.68</v>
      </c>
    </row>
    <row r="558" spans="1:11">
      <c r="A558">
        <v>557</v>
      </c>
      <c r="B558" s="1">
        <v>45462</v>
      </c>
      <c r="C558" t="s">
        <v>10</v>
      </c>
      <c r="D558" t="s">
        <v>11</v>
      </c>
      <c r="E558">
        <v>1391.41</v>
      </c>
      <c r="F558">
        <v>2</v>
      </c>
      <c r="G558">
        <v>0.14000000000000001</v>
      </c>
      <c r="H558">
        <v>0.31</v>
      </c>
      <c r="I558" t="s">
        <v>12</v>
      </c>
      <c r="J558" t="s">
        <v>266</v>
      </c>
      <c r="K558">
        <f t="shared" si="8"/>
        <v>2782.82</v>
      </c>
    </row>
    <row r="559" spans="1:11">
      <c r="A559">
        <v>558</v>
      </c>
      <c r="B559" s="1">
        <v>45495</v>
      </c>
      <c r="C559" t="s">
        <v>14</v>
      </c>
      <c r="D559" t="s">
        <v>15</v>
      </c>
      <c r="E559">
        <v>1311.27</v>
      </c>
      <c r="F559">
        <v>2</v>
      </c>
      <c r="G559">
        <v>0.04</v>
      </c>
      <c r="H559">
        <v>0.19</v>
      </c>
      <c r="I559" t="s">
        <v>24</v>
      </c>
      <c r="J559" t="s">
        <v>73</v>
      </c>
      <c r="K559">
        <f t="shared" si="8"/>
        <v>2622.54</v>
      </c>
    </row>
    <row r="560" spans="1:11">
      <c r="A560">
        <v>559</v>
      </c>
      <c r="B560" s="1">
        <v>45594</v>
      </c>
      <c r="C560" t="s">
        <v>26</v>
      </c>
      <c r="D560" t="s">
        <v>11</v>
      </c>
      <c r="E560">
        <v>1211.54</v>
      </c>
      <c r="F560">
        <v>3</v>
      </c>
      <c r="G560">
        <v>0.06</v>
      </c>
      <c r="H560">
        <v>0.39</v>
      </c>
      <c r="I560" t="s">
        <v>21</v>
      </c>
      <c r="J560" t="s">
        <v>138</v>
      </c>
      <c r="K560">
        <f t="shared" si="8"/>
        <v>3634.62</v>
      </c>
    </row>
    <row r="561" spans="1:11">
      <c r="A561">
        <v>560</v>
      </c>
      <c r="B561" s="1">
        <v>45618</v>
      </c>
      <c r="C561" t="s">
        <v>14</v>
      </c>
      <c r="D561" t="s">
        <v>15</v>
      </c>
      <c r="E561">
        <v>1486.06</v>
      </c>
      <c r="F561">
        <v>2</v>
      </c>
      <c r="G561">
        <v>0.2</v>
      </c>
      <c r="H561">
        <v>0.35</v>
      </c>
      <c r="I561" t="s">
        <v>16</v>
      </c>
      <c r="J561" t="s">
        <v>216</v>
      </c>
      <c r="K561">
        <f t="shared" si="8"/>
        <v>2972.12</v>
      </c>
    </row>
    <row r="562" spans="1:11">
      <c r="A562">
        <v>561</v>
      </c>
      <c r="B562" s="1">
        <v>45292</v>
      </c>
      <c r="C562" t="s">
        <v>26</v>
      </c>
      <c r="D562" t="s">
        <v>11</v>
      </c>
      <c r="E562">
        <v>28.42</v>
      </c>
      <c r="F562">
        <v>3</v>
      </c>
      <c r="G562">
        <v>0.22</v>
      </c>
      <c r="H562">
        <v>0.35</v>
      </c>
      <c r="I562" t="s">
        <v>16</v>
      </c>
      <c r="J562" t="s">
        <v>192</v>
      </c>
      <c r="K562">
        <f t="shared" si="8"/>
        <v>85.26</v>
      </c>
    </row>
    <row r="563" spans="1:11">
      <c r="A563">
        <v>562</v>
      </c>
      <c r="B563" s="1">
        <v>45419</v>
      </c>
      <c r="C563" t="s">
        <v>14</v>
      </c>
      <c r="D563" t="s">
        <v>15</v>
      </c>
      <c r="E563">
        <v>126.82</v>
      </c>
      <c r="F563">
        <v>5</v>
      </c>
      <c r="G563">
        <v>0.23</v>
      </c>
      <c r="H563">
        <v>0.33</v>
      </c>
      <c r="I563" t="s">
        <v>24</v>
      </c>
      <c r="J563" t="s">
        <v>137</v>
      </c>
      <c r="K563">
        <f t="shared" si="8"/>
        <v>634.09999999999991</v>
      </c>
    </row>
    <row r="564" spans="1:11">
      <c r="A564">
        <v>563</v>
      </c>
      <c r="B564" s="1">
        <v>45395</v>
      </c>
      <c r="C564" t="s">
        <v>26</v>
      </c>
      <c r="D564" t="s">
        <v>11</v>
      </c>
      <c r="E564">
        <v>1218.55</v>
      </c>
      <c r="F564">
        <v>1</v>
      </c>
      <c r="G564">
        <v>0.25</v>
      </c>
      <c r="H564">
        <v>0.28000000000000003</v>
      </c>
      <c r="I564" t="s">
        <v>24</v>
      </c>
      <c r="J564" t="s">
        <v>99</v>
      </c>
      <c r="K564">
        <f t="shared" si="8"/>
        <v>1218.55</v>
      </c>
    </row>
    <row r="565" spans="1:11">
      <c r="A565">
        <v>564</v>
      </c>
      <c r="B565" s="1">
        <v>45649</v>
      </c>
      <c r="C565" t="s">
        <v>26</v>
      </c>
      <c r="D565" t="s">
        <v>11</v>
      </c>
      <c r="E565">
        <v>613.66999999999996</v>
      </c>
      <c r="F565">
        <v>2</v>
      </c>
      <c r="G565">
        <v>0.02</v>
      </c>
      <c r="H565">
        <v>0.22</v>
      </c>
      <c r="I565" t="s">
        <v>24</v>
      </c>
      <c r="J565" t="s">
        <v>17</v>
      </c>
      <c r="K565">
        <f t="shared" si="8"/>
        <v>1227.3399999999999</v>
      </c>
    </row>
    <row r="566" spans="1:11">
      <c r="A566">
        <v>565</v>
      </c>
      <c r="B566" s="1">
        <v>45581</v>
      </c>
      <c r="C566" t="s">
        <v>26</v>
      </c>
      <c r="D566" t="s">
        <v>11</v>
      </c>
      <c r="E566">
        <v>476.55</v>
      </c>
      <c r="F566">
        <v>3</v>
      </c>
      <c r="G566">
        <v>0.19</v>
      </c>
      <c r="H566">
        <v>0.27</v>
      </c>
      <c r="I566" t="s">
        <v>21</v>
      </c>
      <c r="J566" t="s">
        <v>116</v>
      </c>
      <c r="K566">
        <f t="shared" si="8"/>
        <v>1429.65</v>
      </c>
    </row>
    <row r="567" spans="1:11">
      <c r="A567">
        <v>566</v>
      </c>
      <c r="B567" s="1">
        <v>45436</v>
      </c>
      <c r="C567" t="s">
        <v>20</v>
      </c>
      <c r="D567" t="s">
        <v>15</v>
      </c>
      <c r="E567">
        <v>33.979999999999997</v>
      </c>
      <c r="F567">
        <v>3</v>
      </c>
      <c r="G567">
        <v>0.16</v>
      </c>
      <c r="H567">
        <v>0.19</v>
      </c>
      <c r="I567" t="s">
        <v>24</v>
      </c>
      <c r="J567" t="s">
        <v>266</v>
      </c>
      <c r="K567">
        <f t="shared" si="8"/>
        <v>101.94</v>
      </c>
    </row>
    <row r="568" spans="1:11">
      <c r="A568">
        <v>567</v>
      </c>
      <c r="B568" s="1">
        <v>45613</v>
      </c>
      <c r="C568" t="s">
        <v>26</v>
      </c>
      <c r="D568" t="s">
        <v>11</v>
      </c>
      <c r="E568">
        <v>763.42</v>
      </c>
      <c r="F568">
        <v>2</v>
      </c>
      <c r="G568">
        <v>7.0000000000000007E-2</v>
      </c>
      <c r="H568">
        <v>0.24</v>
      </c>
      <c r="I568" t="s">
        <v>24</v>
      </c>
      <c r="J568" t="s">
        <v>274</v>
      </c>
      <c r="K568">
        <f t="shared" si="8"/>
        <v>1526.84</v>
      </c>
    </row>
    <row r="569" spans="1:11">
      <c r="A569">
        <v>568</v>
      </c>
      <c r="B569" s="1">
        <v>45581</v>
      </c>
      <c r="C569" t="s">
        <v>26</v>
      </c>
      <c r="D569" t="s">
        <v>11</v>
      </c>
      <c r="E569">
        <v>132.53</v>
      </c>
      <c r="F569">
        <v>5</v>
      </c>
      <c r="G569">
        <v>0.2</v>
      </c>
      <c r="H569">
        <v>0.16</v>
      </c>
      <c r="I569" t="s">
        <v>24</v>
      </c>
      <c r="J569" t="s">
        <v>278</v>
      </c>
      <c r="K569">
        <f t="shared" si="8"/>
        <v>662.65</v>
      </c>
    </row>
    <row r="570" spans="1:11">
      <c r="A570">
        <v>569</v>
      </c>
      <c r="B570" s="1">
        <v>45586</v>
      </c>
      <c r="C570" t="s">
        <v>31</v>
      </c>
      <c r="D570" t="s">
        <v>11</v>
      </c>
      <c r="E570">
        <v>439.48</v>
      </c>
      <c r="F570">
        <v>3</v>
      </c>
      <c r="G570">
        <v>0.01</v>
      </c>
      <c r="H570">
        <v>0.27</v>
      </c>
      <c r="I570" t="s">
        <v>12</v>
      </c>
      <c r="J570" t="s">
        <v>72</v>
      </c>
      <c r="K570">
        <f t="shared" si="8"/>
        <v>1318.44</v>
      </c>
    </row>
    <row r="571" spans="1:11">
      <c r="A571">
        <v>570</v>
      </c>
      <c r="B571" s="1">
        <v>45344</v>
      </c>
      <c r="C571" t="s">
        <v>20</v>
      </c>
      <c r="D571" t="s">
        <v>15</v>
      </c>
      <c r="E571">
        <v>358.39</v>
      </c>
      <c r="F571">
        <v>1</v>
      </c>
      <c r="G571">
        <v>7.0000000000000007E-2</v>
      </c>
      <c r="H571">
        <v>0.11</v>
      </c>
      <c r="I571" t="s">
        <v>16</v>
      </c>
      <c r="J571" t="s">
        <v>249</v>
      </c>
      <c r="K571">
        <f t="shared" si="8"/>
        <v>358.39</v>
      </c>
    </row>
    <row r="572" spans="1:11">
      <c r="A572">
        <v>571</v>
      </c>
      <c r="B572" s="1">
        <v>45314</v>
      </c>
      <c r="C572" t="s">
        <v>10</v>
      </c>
      <c r="D572" t="s">
        <v>11</v>
      </c>
      <c r="E572">
        <v>638.78</v>
      </c>
      <c r="F572">
        <v>1</v>
      </c>
      <c r="G572">
        <v>0.04</v>
      </c>
      <c r="H572">
        <v>0.37</v>
      </c>
      <c r="I572" t="s">
        <v>21</v>
      </c>
      <c r="J572" t="s">
        <v>283</v>
      </c>
      <c r="K572">
        <f t="shared" si="8"/>
        <v>638.78</v>
      </c>
    </row>
    <row r="573" spans="1:11">
      <c r="A573">
        <v>572</v>
      </c>
      <c r="B573" s="1">
        <v>45343</v>
      </c>
      <c r="C573" t="s">
        <v>20</v>
      </c>
      <c r="D573" t="s">
        <v>15</v>
      </c>
      <c r="E573">
        <v>1303.73</v>
      </c>
      <c r="F573">
        <v>2</v>
      </c>
      <c r="G573">
        <v>0.18</v>
      </c>
      <c r="H573">
        <v>0.28999999999999998</v>
      </c>
      <c r="I573" t="s">
        <v>24</v>
      </c>
      <c r="J573" t="s">
        <v>81</v>
      </c>
      <c r="K573">
        <f t="shared" si="8"/>
        <v>2607.46</v>
      </c>
    </row>
    <row r="574" spans="1:11">
      <c r="A574">
        <v>573</v>
      </c>
      <c r="B574" s="1">
        <v>45344</v>
      </c>
      <c r="C574" t="s">
        <v>23</v>
      </c>
      <c r="D574" t="s">
        <v>15</v>
      </c>
      <c r="E574">
        <v>964.71</v>
      </c>
      <c r="F574">
        <v>2</v>
      </c>
      <c r="G574">
        <v>7.0000000000000007E-2</v>
      </c>
      <c r="H574">
        <v>0.31</v>
      </c>
      <c r="I574" t="s">
        <v>24</v>
      </c>
      <c r="J574" t="s">
        <v>201</v>
      </c>
      <c r="K574">
        <f t="shared" si="8"/>
        <v>1929.42</v>
      </c>
    </row>
    <row r="575" spans="1:11">
      <c r="A575">
        <v>574</v>
      </c>
      <c r="B575" s="1">
        <v>45303</v>
      </c>
      <c r="C575" t="s">
        <v>10</v>
      </c>
      <c r="D575" t="s">
        <v>11</v>
      </c>
      <c r="E575">
        <v>1210.8399999999999</v>
      </c>
      <c r="F575">
        <v>4</v>
      </c>
      <c r="G575">
        <v>0.04</v>
      </c>
      <c r="H575">
        <v>0.33</v>
      </c>
      <c r="I575" t="s">
        <v>12</v>
      </c>
      <c r="J575" t="s">
        <v>256</v>
      </c>
      <c r="K575">
        <f t="shared" si="8"/>
        <v>4843.3599999999997</v>
      </c>
    </row>
    <row r="576" spans="1:11">
      <c r="A576">
        <v>575</v>
      </c>
      <c r="B576" s="1">
        <v>45366</v>
      </c>
      <c r="C576" t="s">
        <v>14</v>
      </c>
      <c r="D576" t="s">
        <v>15</v>
      </c>
      <c r="E576">
        <v>757.63</v>
      </c>
      <c r="F576">
        <v>2</v>
      </c>
      <c r="G576">
        <v>0.04</v>
      </c>
      <c r="H576">
        <v>0.28999999999999998</v>
      </c>
      <c r="I576" t="s">
        <v>24</v>
      </c>
      <c r="J576" t="s">
        <v>50</v>
      </c>
      <c r="K576">
        <f t="shared" si="8"/>
        <v>1515.26</v>
      </c>
    </row>
    <row r="577" spans="1:11">
      <c r="A577">
        <v>576</v>
      </c>
      <c r="B577" s="1">
        <v>45640</v>
      </c>
      <c r="C577" t="s">
        <v>23</v>
      </c>
      <c r="D577" t="s">
        <v>15</v>
      </c>
      <c r="E577">
        <v>425.53</v>
      </c>
      <c r="F577">
        <v>1</v>
      </c>
      <c r="G577">
        <v>0.1</v>
      </c>
      <c r="H577">
        <v>0.1</v>
      </c>
      <c r="I577" t="s">
        <v>24</v>
      </c>
      <c r="J577" t="s">
        <v>118</v>
      </c>
      <c r="K577">
        <f t="shared" si="8"/>
        <v>425.53</v>
      </c>
    </row>
    <row r="578" spans="1:11">
      <c r="A578">
        <v>577</v>
      </c>
      <c r="B578" s="1">
        <v>45616</v>
      </c>
      <c r="C578" t="s">
        <v>10</v>
      </c>
      <c r="D578" t="s">
        <v>11</v>
      </c>
      <c r="E578">
        <v>94.11</v>
      </c>
      <c r="F578">
        <v>1</v>
      </c>
      <c r="G578">
        <v>0.02</v>
      </c>
      <c r="H578">
        <v>0.35</v>
      </c>
      <c r="I578" t="s">
        <v>16</v>
      </c>
      <c r="J578" t="s">
        <v>257</v>
      </c>
      <c r="K578">
        <f t="shared" si="8"/>
        <v>94.11</v>
      </c>
    </row>
    <row r="579" spans="1:11">
      <c r="A579">
        <v>578</v>
      </c>
      <c r="B579" s="1">
        <v>45398</v>
      </c>
      <c r="C579" t="s">
        <v>10</v>
      </c>
      <c r="D579" t="s">
        <v>11</v>
      </c>
      <c r="E579">
        <v>1412.16</v>
      </c>
      <c r="F579">
        <v>5</v>
      </c>
      <c r="G579">
        <v>0.28000000000000003</v>
      </c>
      <c r="H579">
        <v>0.35</v>
      </c>
      <c r="I579" t="s">
        <v>12</v>
      </c>
      <c r="J579" t="s">
        <v>284</v>
      </c>
      <c r="K579">
        <f t="shared" si="8"/>
        <v>7060.8</v>
      </c>
    </row>
    <row r="580" spans="1:11">
      <c r="A580">
        <v>579</v>
      </c>
      <c r="B580" s="1">
        <v>45629</v>
      </c>
      <c r="C580" t="s">
        <v>14</v>
      </c>
      <c r="D580" t="s">
        <v>15</v>
      </c>
      <c r="E580">
        <v>423.83</v>
      </c>
      <c r="F580">
        <v>3</v>
      </c>
      <c r="G580">
        <v>0.26</v>
      </c>
      <c r="H580">
        <v>0.27</v>
      </c>
      <c r="I580" t="s">
        <v>24</v>
      </c>
      <c r="J580" t="s">
        <v>271</v>
      </c>
      <c r="K580">
        <f t="shared" ref="K580:K643" si="9">E580*F580</f>
        <v>1271.49</v>
      </c>
    </row>
    <row r="581" spans="1:11">
      <c r="A581">
        <v>580</v>
      </c>
      <c r="B581" s="1">
        <v>45347</v>
      </c>
      <c r="C581" t="s">
        <v>26</v>
      </c>
      <c r="D581" t="s">
        <v>11</v>
      </c>
      <c r="E581">
        <v>1340.51</v>
      </c>
      <c r="F581">
        <v>5</v>
      </c>
      <c r="G581">
        <v>0.13</v>
      </c>
      <c r="H581">
        <v>0.21</v>
      </c>
      <c r="I581" t="s">
        <v>21</v>
      </c>
      <c r="J581" t="s">
        <v>124</v>
      </c>
      <c r="K581">
        <f t="shared" si="9"/>
        <v>6702.55</v>
      </c>
    </row>
    <row r="582" spans="1:11">
      <c r="A582">
        <v>581</v>
      </c>
      <c r="B582" s="1">
        <v>45607</v>
      </c>
      <c r="C582" t="s">
        <v>10</v>
      </c>
      <c r="D582" t="s">
        <v>11</v>
      </c>
      <c r="E582">
        <v>1447.02</v>
      </c>
      <c r="F582">
        <v>5</v>
      </c>
      <c r="G582">
        <v>0.03</v>
      </c>
      <c r="H582">
        <v>0.11</v>
      </c>
      <c r="I582" t="s">
        <v>12</v>
      </c>
      <c r="J582" t="s">
        <v>194</v>
      </c>
      <c r="K582">
        <f t="shared" si="9"/>
        <v>7235.1</v>
      </c>
    </row>
    <row r="583" spans="1:11">
      <c r="A583">
        <v>582</v>
      </c>
      <c r="B583" s="1">
        <v>45526</v>
      </c>
      <c r="C583" t="s">
        <v>23</v>
      </c>
      <c r="D583" t="s">
        <v>15</v>
      </c>
      <c r="E583">
        <v>958.25</v>
      </c>
      <c r="F583">
        <v>2</v>
      </c>
      <c r="G583">
        <v>0.04</v>
      </c>
      <c r="H583">
        <v>0.18</v>
      </c>
      <c r="I583" t="s">
        <v>24</v>
      </c>
      <c r="J583" t="s">
        <v>126</v>
      </c>
      <c r="K583">
        <f t="shared" si="9"/>
        <v>1916.5</v>
      </c>
    </row>
    <row r="584" spans="1:11">
      <c r="A584">
        <v>583</v>
      </c>
      <c r="B584" s="1">
        <v>45572</v>
      </c>
      <c r="C584" t="s">
        <v>23</v>
      </c>
      <c r="D584" t="s">
        <v>15</v>
      </c>
      <c r="E584">
        <v>1007.92</v>
      </c>
      <c r="F584">
        <v>1</v>
      </c>
      <c r="G584">
        <v>0.08</v>
      </c>
      <c r="H584">
        <v>0.14000000000000001</v>
      </c>
      <c r="I584" t="s">
        <v>21</v>
      </c>
      <c r="J584" t="s">
        <v>104</v>
      </c>
      <c r="K584">
        <f t="shared" si="9"/>
        <v>1007.92</v>
      </c>
    </row>
    <row r="585" spans="1:11">
      <c r="A585">
        <v>584</v>
      </c>
      <c r="B585" s="1">
        <v>45584</v>
      </c>
      <c r="C585" t="s">
        <v>26</v>
      </c>
      <c r="D585" t="s">
        <v>11</v>
      </c>
      <c r="E585">
        <v>464.63</v>
      </c>
      <c r="F585">
        <v>5</v>
      </c>
      <c r="G585">
        <v>0.14000000000000001</v>
      </c>
      <c r="H585">
        <v>0.28999999999999998</v>
      </c>
      <c r="I585" t="s">
        <v>21</v>
      </c>
      <c r="J585" t="s">
        <v>107</v>
      </c>
      <c r="K585">
        <f t="shared" si="9"/>
        <v>2323.15</v>
      </c>
    </row>
    <row r="586" spans="1:11">
      <c r="A586">
        <v>585</v>
      </c>
      <c r="B586" s="1">
        <v>45332</v>
      </c>
      <c r="C586" t="s">
        <v>23</v>
      </c>
      <c r="D586" t="s">
        <v>15</v>
      </c>
      <c r="E586">
        <v>96.07</v>
      </c>
      <c r="F586">
        <v>5</v>
      </c>
      <c r="G586">
        <v>0.15</v>
      </c>
      <c r="H586">
        <v>0.22</v>
      </c>
      <c r="I586" t="s">
        <v>16</v>
      </c>
      <c r="J586" t="s">
        <v>88</v>
      </c>
      <c r="K586">
        <f t="shared" si="9"/>
        <v>480.34999999999997</v>
      </c>
    </row>
    <row r="587" spans="1:11">
      <c r="A587">
        <v>586</v>
      </c>
      <c r="B587" s="1">
        <v>45652</v>
      </c>
      <c r="C587" t="s">
        <v>26</v>
      </c>
      <c r="D587" t="s">
        <v>11</v>
      </c>
      <c r="E587">
        <v>727.05</v>
      </c>
      <c r="F587">
        <v>2</v>
      </c>
      <c r="G587">
        <v>0.19</v>
      </c>
      <c r="H587">
        <v>0.33</v>
      </c>
      <c r="I587" t="s">
        <v>12</v>
      </c>
      <c r="J587" t="s">
        <v>101</v>
      </c>
      <c r="K587">
        <f t="shared" si="9"/>
        <v>1454.1</v>
      </c>
    </row>
    <row r="588" spans="1:11">
      <c r="A588">
        <v>587</v>
      </c>
      <c r="B588" s="1">
        <v>45391</v>
      </c>
      <c r="C588" t="s">
        <v>20</v>
      </c>
      <c r="D588" t="s">
        <v>15</v>
      </c>
      <c r="E588">
        <v>102.22</v>
      </c>
      <c r="F588">
        <v>1</v>
      </c>
      <c r="G588">
        <v>0.06</v>
      </c>
      <c r="H588">
        <v>0.27</v>
      </c>
      <c r="I588" t="s">
        <v>21</v>
      </c>
      <c r="J588" t="s">
        <v>179</v>
      </c>
      <c r="K588">
        <f t="shared" si="9"/>
        <v>102.22</v>
      </c>
    </row>
    <row r="589" spans="1:11">
      <c r="A589">
        <v>588</v>
      </c>
      <c r="B589" s="1">
        <v>45391</v>
      </c>
      <c r="C589" t="s">
        <v>14</v>
      </c>
      <c r="D589" t="s">
        <v>15</v>
      </c>
      <c r="E589">
        <v>1279.26</v>
      </c>
      <c r="F589">
        <v>1</v>
      </c>
      <c r="G589">
        <v>0.2</v>
      </c>
      <c r="H589">
        <v>0.24</v>
      </c>
      <c r="I589" t="s">
        <v>12</v>
      </c>
      <c r="J589" t="s">
        <v>227</v>
      </c>
      <c r="K589">
        <f t="shared" si="9"/>
        <v>1279.26</v>
      </c>
    </row>
    <row r="590" spans="1:11">
      <c r="A590">
        <v>589</v>
      </c>
      <c r="B590" s="1">
        <v>45555</v>
      </c>
      <c r="C590" t="s">
        <v>23</v>
      </c>
      <c r="D590" t="s">
        <v>15</v>
      </c>
      <c r="E590">
        <v>1024.77</v>
      </c>
      <c r="F590">
        <v>5</v>
      </c>
      <c r="G590">
        <v>0.01</v>
      </c>
      <c r="H590">
        <v>0.22</v>
      </c>
      <c r="I590" t="s">
        <v>12</v>
      </c>
      <c r="J590" t="s">
        <v>122</v>
      </c>
      <c r="K590">
        <f t="shared" si="9"/>
        <v>5123.8500000000004</v>
      </c>
    </row>
    <row r="591" spans="1:11">
      <c r="A591">
        <v>590</v>
      </c>
      <c r="B591" s="1">
        <v>45440</v>
      </c>
      <c r="C591" t="s">
        <v>10</v>
      </c>
      <c r="D591" t="s">
        <v>11</v>
      </c>
      <c r="E591">
        <v>986.17</v>
      </c>
      <c r="F591">
        <v>2</v>
      </c>
      <c r="G591">
        <v>0.22</v>
      </c>
      <c r="H591">
        <v>0.39</v>
      </c>
      <c r="I591" t="s">
        <v>24</v>
      </c>
      <c r="J591" t="s">
        <v>285</v>
      </c>
      <c r="K591">
        <f t="shared" si="9"/>
        <v>1972.34</v>
      </c>
    </row>
    <row r="592" spans="1:11">
      <c r="A592">
        <v>591</v>
      </c>
      <c r="B592" s="1">
        <v>45518</v>
      </c>
      <c r="C592" t="s">
        <v>31</v>
      </c>
      <c r="D592" t="s">
        <v>11</v>
      </c>
      <c r="E592">
        <v>1031.24</v>
      </c>
      <c r="F592">
        <v>1</v>
      </c>
      <c r="G592">
        <v>0.27</v>
      </c>
      <c r="H592">
        <v>0.19</v>
      </c>
      <c r="I592" t="s">
        <v>24</v>
      </c>
      <c r="J592" t="s">
        <v>119</v>
      </c>
      <c r="K592">
        <f t="shared" si="9"/>
        <v>1031.24</v>
      </c>
    </row>
    <row r="593" spans="1:11">
      <c r="A593">
        <v>592</v>
      </c>
      <c r="B593" s="1">
        <v>45335</v>
      </c>
      <c r="C593" t="s">
        <v>20</v>
      </c>
      <c r="D593" t="s">
        <v>15</v>
      </c>
      <c r="E593">
        <v>1008.63</v>
      </c>
      <c r="F593">
        <v>1</v>
      </c>
      <c r="G593">
        <v>0.03</v>
      </c>
      <c r="H593">
        <v>0.25</v>
      </c>
      <c r="I593" t="s">
        <v>21</v>
      </c>
      <c r="J593" t="s">
        <v>46</v>
      </c>
      <c r="K593">
        <f t="shared" si="9"/>
        <v>1008.63</v>
      </c>
    </row>
    <row r="594" spans="1:11">
      <c r="A594">
        <v>593</v>
      </c>
      <c r="B594" s="1">
        <v>45571</v>
      </c>
      <c r="C594" t="s">
        <v>10</v>
      </c>
      <c r="D594" t="s">
        <v>11</v>
      </c>
      <c r="E594">
        <v>172.3</v>
      </c>
      <c r="F594">
        <v>2</v>
      </c>
      <c r="G594">
        <v>0</v>
      </c>
      <c r="H594">
        <v>0.21</v>
      </c>
      <c r="I594" t="s">
        <v>21</v>
      </c>
      <c r="J594" t="s">
        <v>105</v>
      </c>
      <c r="K594">
        <f t="shared" si="9"/>
        <v>344.6</v>
      </c>
    </row>
    <row r="595" spans="1:11">
      <c r="A595">
        <v>594</v>
      </c>
      <c r="B595" s="1">
        <v>45402</v>
      </c>
      <c r="C595" t="s">
        <v>31</v>
      </c>
      <c r="D595" t="s">
        <v>11</v>
      </c>
      <c r="E595">
        <v>1261.44</v>
      </c>
      <c r="F595">
        <v>1</v>
      </c>
      <c r="G595">
        <v>0.04</v>
      </c>
      <c r="H595">
        <v>0.22</v>
      </c>
      <c r="I595" t="s">
        <v>16</v>
      </c>
      <c r="J595" t="s">
        <v>29</v>
      </c>
      <c r="K595">
        <f t="shared" si="9"/>
        <v>1261.44</v>
      </c>
    </row>
    <row r="596" spans="1:11">
      <c r="A596">
        <v>595</v>
      </c>
      <c r="B596" s="1">
        <v>45462</v>
      </c>
      <c r="C596" t="s">
        <v>23</v>
      </c>
      <c r="D596" t="s">
        <v>15</v>
      </c>
      <c r="E596">
        <v>512.11</v>
      </c>
      <c r="F596">
        <v>4</v>
      </c>
      <c r="G596">
        <v>0.18</v>
      </c>
      <c r="H596">
        <v>0.1</v>
      </c>
      <c r="I596" t="s">
        <v>12</v>
      </c>
      <c r="J596" t="s">
        <v>175</v>
      </c>
      <c r="K596">
        <f t="shared" si="9"/>
        <v>2048.44</v>
      </c>
    </row>
    <row r="597" spans="1:11">
      <c r="A597">
        <v>596</v>
      </c>
      <c r="B597" s="1">
        <v>45631</v>
      </c>
      <c r="C597" t="s">
        <v>31</v>
      </c>
      <c r="D597" t="s">
        <v>11</v>
      </c>
      <c r="E597">
        <v>1319.53</v>
      </c>
      <c r="F597">
        <v>2</v>
      </c>
      <c r="G597">
        <v>0.16</v>
      </c>
      <c r="H597">
        <v>0.3</v>
      </c>
      <c r="I597" t="s">
        <v>21</v>
      </c>
      <c r="J597" t="s">
        <v>80</v>
      </c>
      <c r="K597">
        <f t="shared" si="9"/>
        <v>2639.06</v>
      </c>
    </row>
    <row r="598" spans="1:11">
      <c r="A598">
        <v>597</v>
      </c>
      <c r="B598" s="1">
        <v>45574</v>
      </c>
      <c r="C598" t="s">
        <v>23</v>
      </c>
      <c r="D598" t="s">
        <v>15</v>
      </c>
      <c r="E598">
        <v>696.01</v>
      </c>
      <c r="F598">
        <v>1</v>
      </c>
      <c r="G598">
        <v>0.16</v>
      </c>
      <c r="H598">
        <v>0.39</v>
      </c>
      <c r="I598" t="s">
        <v>21</v>
      </c>
      <c r="J598" t="s">
        <v>41</v>
      </c>
      <c r="K598">
        <f t="shared" si="9"/>
        <v>696.01</v>
      </c>
    </row>
    <row r="599" spans="1:11">
      <c r="A599">
        <v>598</v>
      </c>
      <c r="B599" s="1">
        <v>45453</v>
      </c>
      <c r="C599" t="s">
        <v>23</v>
      </c>
      <c r="D599" t="s">
        <v>15</v>
      </c>
      <c r="E599">
        <v>873.65</v>
      </c>
      <c r="F599">
        <v>2</v>
      </c>
      <c r="G599">
        <v>0.23</v>
      </c>
      <c r="H599">
        <v>0.34</v>
      </c>
      <c r="I599" t="s">
        <v>12</v>
      </c>
      <c r="J599" t="s">
        <v>184</v>
      </c>
      <c r="K599">
        <f t="shared" si="9"/>
        <v>1747.3</v>
      </c>
    </row>
    <row r="600" spans="1:11">
      <c r="A600">
        <v>599</v>
      </c>
      <c r="B600" s="1">
        <v>45298</v>
      </c>
      <c r="C600" t="s">
        <v>31</v>
      </c>
      <c r="D600" t="s">
        <v>11</v>
      </c>
      <c r="E600">
        <v>293.07</v>
      </c>
      <c r="F600">
        <v>5</v>
      </c>
      <c r="G600">
        <v>0.1</v>
      </c>
      <c r="H600">
        <v>0.32</v>
      </c>
      <c r="I600" t="s">
        <v>16</v>
      </c>
      <c r="J600" t="s">
        <v>43</v>
      </c>
      <c r="K600">
        <f t="shared" si="9"/>
        <v>1465.35</v>
      </c>
    </row>
    <row r="601" spans="1:11">
      <c r="A601">
        <v>600</v>
      </c>
      <c r="B601" s="1">
        <v>45426</v>
      </c>
      <c r="C601" t="s">
        <v>10</v>
      </c>
      <c r="D601" t="s">
        <v>11</v>
      </c>
      <c r="E601">
        <v>538.44000000000005</v>
      </c>
      <c r="F601">
        <v>4</v>
      </c>
      <c r="G601">
        <v>0</v>
      </c>
      <c r="H601">
        <v>0.19</v>
      </c>
      <c r="I601" t="s">
        <v>24</v>
      </c>
      <c r="J601" t="s">
        <v>286</v>
      </c>
      <c r="K601">
        <f t="shared" si="9"/>
        <v>2153.7600000000002</v>
      </c>
    </row>
    <row r="602" spans="1:11">
      <c r="A602">
        <v>601</v>
      </c>
      <c r="B602" s="1">
        <v>45516</v>
      </c>
      <c r="C602" t="s">
        <v>20</v>
      </c>
      <c r="D602" t="s">
        <v>15</v>
      </c>
      <c r="E602">
        <v>1321.9</v>
      </c>
      <c r="F602">
        <v>3</v>
      </c>
      <c r="G602">
        <v>0.01</v>
      </c>
      <c r="H602">
        <v>0.37</v>
      </c>
      <c r="I602" t="s">
        <v>24</v>
      </c>
      <c r="J602" t="s">
        <v>287</v>
      </c>
      <c r="K602">
        <f t="shared" si="9"/>
        <v>3965.7000000000003</v>
      </c>
    </row>
    <row r="603" spans="1:11">
      <c r="A603">
        <v>602</v>
      </c>
      <c r="B603" s="1">
        <v>45486</v>
      </c>
      <c r="C603" t="s">
        <v>14</v>
      </c>
      <c r="D603" t="s">
        <v>15</v>
      </c>
      <c r="E603">
        <v>919.07</v>
      </c>
      <c r="F603">
        <v>5</v>
      </c>
      <c r="G603">
        <v>0.12</v>
      </c>
      <c r="H603">
        <v>0.19</v>
      </c>
      <c r="I603" t="s">
        <v>24</v>
      </c>
      <c r="J603" t="s">
        <v>209</v>
      </c>
      <c r="K603">
        <f t="shared" si="9"/>
        <v>4595.3500000000004</v>
      </c>
    </row>
    <row r="604" spans="1:11">
      <c r="A604">
        <v>603</v>
      </c>
      <c r="B604" s="1">
        <v>45370</v>
      </c>
      <c r="C604" t="s">
        <v>20</v>
      </c>
      <c r="D604" t="s">
        <v>15</v>
      </c>
      <c r="E604">
        <v>1072.45</v>
      </c>
      <c r="F604">
        <v>5</v>
      </c>
      <c r="G604">
        <v>7.0000000000000007E-2</v>
      </c>
      <c r="H604">
        <v>0.25</v>
      </c>
      <c r="I604" t="s">
        <v>12</v>
      </c>
      <c r="J604" t="s">
        <v>214</v>
      </c>
      <c r="K604">
        <f t="shared" si="9"/>
        <v>5362.25</v>
      </c>
    </row>
    <row r="605" spans="1:11">
      <c r="A605">
        <v>604</v>
      </c>
      <c r="B605" s="1">
        <v>45410</v>
      </c>
      <c r="C605" t="s">
        <v>31</v>
      </c>
      <c r="D605" t="s">
        <v>11</v>
      </c>
      <c r="E605">
        <v>113.08</v>
      </c>
      <c r="F605">
        <v>4</v>
      </c>
      <c r="G605">
        <v>0.02</v>
      </c>
      <c r="H605">
        <v>0.39</v>
      </c>
      <c r="I605" t="s">
        <v>16</v>
      </c>
      <c r="J605" t="s">
        <v>102</v>
      </c>
      <c r="K605">
        <f t="shared" si="9"/>
        <v>452.32</v>
      </c>
    </row>
    <row r="606" spans="1:11">
      <c r="A606">
        <v>605</v>
      </c>
      <c r="B606" s="1">
        <v>45319</v>
      </c>
      <c r="C606" t="s">
        <v>20</v>
      </c>
      <c r="D606" t="s">
        <v>15</v>
      </c>
      <c r="E606">
        <v>1183.1500000000001</v>
      </c>
      <c r="F606">
        <v>4</v>
      </c>
      <c r="G606">
        <v>0.16</v>
      </c>
      <c r="H606">
        <v>0.39</v>
      </c>
      <c r="I606" t="s">
        <v>21</v>
      </c>
      <c r="J606" t="s">
        <v>54</v>
      </c>
      <c r="K606">
        <f t="shared" si="9"/>
        <v>4732.6000000000004</v>
      </c>
    </row>
    <row r="607" spans="1:11">
      <c r="A607">
        <v>606</v>
      </c>
      <c r="B607" s="1">
        <v>45653</v>
      </c>
      <c r="C607" t="s">
        <v>10</v>
      </c>
      <c r="D607" t="s">
        <v>11</v>
      </c>
      <c r="E607">
        <v>1170.97</v>
      </c>
      <c r="F607">
        <v>1</v>
      </c>
      <c r="G607">
        <v>7.0000000000000007E-2</v>
      </c>
      <c r="H607">
        <v>0.16</v>
      </c>
      <c r="I607" t="s">
        <v>24</v>
      </c>
      <c r="J607" t="s">
        <v>124</v>
      </c>
      <c r="K607">
        <f t="shared" si="9"/>
        <v>1170.97</v>
      </c>
    </row>
    <row r="608" spans="1:11">
      <c r="A608">
        <v>607</v>
      </c>
      <c r="B608" s="1">
        <v>45558</v>
      </c>
      <c r="C608" t="s">
        <v>23</v>
      </c>
      <c r="D608" t="s">
        <v>15</v>
      </c>
      <c r="E608">
        <v>1346.71</v>
      </c>
      <c r="F608">
        <v>1</v>
      </c>
      <c r="G608">
        <v>0.23</v>
      </c>
      <c r="H608">
        <v>0.27</v>
      </c>
      <c r="I608" t="s">
        <v>21</v>
      </c>
      <c r="J608" t="s">
        <v>132</v>
      </c>
      <c r="K608">
        <f t="shared" si="9"/>
        <v>1346.71</v>
      </c>
    </row>
    <row r="609" spans="1:11">
      <c r="A609">
        <v>608</v>
      </c>
      <c r="B609" s="1">
        <v>45612</v>
      </c>
      <c r="C609" t="s">
        <v>20</v>
      </c>
      <c r="D609" t="s">
        <v>15</v>
      </c>
      <c r="E609">
        <v>1472.94</v>
      </c>
      <c r="F609">
        <v>4</v>
      </c>
      <c r="G609">
        <v>0.12</v>
      </c>
      <c r="H609">
        <v>0.3</v>
      </c>
      <c r="I609" t="s">
        <v>21</v>
      </c>
      <c r="J609" t="s">
        <v>74</v>
      </c>
      <c r="K609">
        <f t="shared" si="9"/>
        <v>5891.76</v>
      </c>
    </row>
    <row r="610" spans="1:11">
      <c r="A610">
        <v>609</v>
      </c>
      <c r="B610" s="1">
        <v>45348</v>
      </c>
      <c r="C610" t="s">
        <v>26</v>
      </c>
      <c r="D610" t="s">
        <v>11</v>
      </c>
      <c r="E610">
        <v>534.16</v>
      </c>
      <c r="F610">
        <v>4</v>
      </c>
      <c r="G610">
        <v>0.1</v>
      </c>
      <c r="H610">
        <v>0.32</v>
      </c>
      <c r="I610" t="s">
        <v>21</v>
      </c>
      <c r="J610" t="s">
        <v>119</v>
      </c>
      <c r="K610">
        <f t="shared" si="9"/>
        <v>2136.64</v>
      </c>
    </row>
    <row r="611" spans="1:11">
      <c r="A611">
        <v>610</v>
      </c>
      <c r="B611" s="1">
        <v>45296</v>
      </c>
      <c r="C611" t="s">
        <v>31</v>
      </c>
      <c r="D611" t="s">
        <v>11</v>
      </c>
      <c r="E611">
        <v>1337.96</v>
      </c>
      <c r="F611">
        <v>1</v>
      </c>
      <c r="G611">
        <v>0.21</v>
      </c>
      <c r="H611">
        <v>0.31</v>
      </c>
      <c r="I611" t="s">
        <v>12</v>
      </c>
      <c r="J611" t="s">
        <v>280</v>
      </c>
      <c r="K611">
        <f t="shared" si="9"/>
        <v>1337.96</v>
      </c>
    </row>
    <row r="612" spans="1:11">
      <c r="A612">
        <v>611</v>
      </c>
      <c r="B612" s="1">
        <v>45517</v>
      </c>
      <c r="C612" t="s">
        <v>23</v>
      </c>
      <c r="D612" t="s">
        <v>15</v>
      </c>
      <c r="E612">
        <v>758.54</v>
      </c>
      <c r="F612">
        <v>1</v>
      </c>
      <c r="G612">
        <v>0.13</v>
      </c>
      <c r="H612">
        <v>0.14000000000000001</v>
      </c>
      <c r="I612" t="s">
        <v>24</v>
      </c>
      <c r="J612" t="s">
        <v>45</v>
      </c>
      <c r="K612">
        <f t="shared" si="9"/>
        <v>758.54</v>
      </c>
    </row>
    <row r="613" spans="1:11">
      <c r="A613">
        <v>612</v>
      </c>
      <c r="B613" s="1">
        <v>45585</v>
      </c>
      <c r="C613" t="s">
        <v>20</v>
      </c>
      <c r="D613" t="s">
        <v>15</v>
      </c>
      <c r="E613">
        <v>381.79</v>
      </c>
      <c r="F613">
        <v>5</v>
      </c>
      <c r="G613">
        <v>0.28000000000000003</v>
      </c>
      <c r="H613">
        <v>0.39</v>
      </c>
      <c r="I613" t="s">
        <v>12</v>
      </c>
      <c r="J613" t="s">
        <v>201</v>
      </c>
      <c r="K613">
        <f t="shared" si="9"/>
        <v>1908.95</v>
      </c>
    </row>
    <row r="614" spans="1:11">
      <c r="A614">
        <v>613</v>
      </c>
      <c r="B614" s="1">
        <v>45514</v>
      </c>
      <c r="C614" t="s">
        <v>10</v>
      </c>
      <c r="D614" t="s">
        <v>11</v>
      </c>
      <c r="E614">
        <v>1394.77</v>
      </c>
      <c r="F614">
        <v>2</v>
      </c>
      <c r="G614">
        <v>0.16</v>
      </c>
      <c r="H614">
        <v>0.15</v>
      </c>
      <c r="I614" t="s">
        <v>21</v>
      </c>
      <c r="J614" t="s">
        <v>68</v>
      </c>
      <c r="K614">
        <f t="shared" si="9"/>
        <v>2789.54</v>
      </c>
    </row>
    <row r="615" spans="1:11">
      <c r="A615">
        <v>614</v>
      </c>
      <c r="B615" s="1">
        <v>45399</v>
      </c>
      <c r="C615" t="s">
        <v>20</v>
      </c>
      <c r="D615" t="s">
        <v>15</v>
      </c>
      <c r="E615">
        <v>89.75</v>
      </c>
      <c r="F615">
        <v>5</v>
      </c>
      <c r="G615">
        <v>0.14000000000000001</v>
      </c>
      <c r="H615">
        <v>0.37</v>
      </c>
      <c r="I615" t="s">
        <v>21</v>
      </c>
      <c r="J615" t="s">
        <v>134</v>
      </c>
      <c r="K615">
        <f t="shared" si="9"/>
        <v>448.75</v>
      </c>
    </row>
    <row r="616" spans="1:11">
      <c r="A616">
        <v>615</v>
      </c>
      <c r="B616" s="1">
        <v>45447</v>
      </c>
      <c r="C616" t="s">
        <v>23</v>
      </c>
      <c r="D616" t="s">
        <v>15</v>
      </c>
      <c r="E616">
        <v>1269.3800000000001</v>
      </c>
      <c r="F616">
        <v>3</v>
      </c>
      <c r="G616">
        <v>0.24</v>
      </c>
      <c r="H616">
        <v>0.36</v>
      </c>
      <c r="I616" t="s">
        <v>12</v>
      </c>
      <c r="J616" t="s">
        <v>288</v>
      </c>
      <c r="K616">
        <f t="shared" si="9"/>
        <v>3808.1400000000003</v>
      </c>
    </row>
    <row r="617" spans="1:11">
      <c r="A617">
        <v>616</v>
      </c>
      <c r="B617" s="1">
        <v>45339</v>
      </c>
      <c r="C617" t="s">
        <v>23</v>
      </c>
      <c r="D617" t="s">
        <v>15</v>
      </c>
      <c r="E617">
        <v>997.19</v>
      </c>
      <c r="F617">
        <v>1</v>
      </c>
      <c r="G617">
        <v>0.06</v>
      </c>
      <c r="H617">
        <v>0.39</v>
      </c>
      <c r="I617" t="s">
        <v>16</v>
      </c>
      <c r="J617" t="s">
        <v>153</v>
      </c>
      <c r="K617">
        <f t="shared" si="9"/>
        <v>997.19</v>
      </c>
    </row>
    <row r="618" spans="1:11">
      <c r="A618">
        <v>617</v>
      </c>
      <c r="B618" s="1">
        <v>45430</v>
      </c>
      <c r="C618" t="s">
        <v>20</v>
      </c>
      <c r="D618" t="s">
        <v>15</v>
      </c>
      <c r="E618">
        <v>624.84</v>
      </c>
      <c r="F618">
        <v>3</v>
      </c>
      <c r="G618">
        <v>0.28999999999999998</v>
      </c>
      <c r="H618">
        <v>0.27</v>
      </c>
      <c r="I618" t="s">
        <v>21</v>
      </c>
      <c r="J618" t="s">
        <v>77</v>
      </c>
      <c r="K618">
        <f t="shared" si="9"/>
        <v>1874.52</v>
      </c>
    </row>
    <row r="619" spans="1:11">
      <c r="A619">
        <v>618</v>
      </c>
      <c r="B619" s="1">
        <v>45445</v>
      </c>
      <c r="C619" t="s">
        <v>14</v>
      </c>
      <c r="D619" t="s">
        <v>15</v>
      </c>
      <c r="E619">
        <v>701.97</v>
      </c>
      <c r="F619">
        <v>2</v>
      </c>
      <c r="G619">
        <v>0.18</v>
      </c>
      <c r="H619">
        <v>0.12</v>
      </c>
      <c r="I619" t="s">
        <v>16</v>
      </c>
      <c r="J619" t="s">
        <v>211</v>
      </c>
      <c r="K619">
        <f t="shared" si="9"/>
        <v>1403.94</v>
      </c>
    </row>
    <row r="620" spans="1:11">
      <c r="A620">
        <v>619</v>
      </c>
      <c r="B620" s="1">
        <v>45645</v>
      </c>
      <c r="C620" t="s">
        <v>14</v>
      </c>
      <c r="D620" t="s">
        <v>15</v>
      </c>
      <c r="E620">
        <v>45.93</v>
      </c>
      <c r="F620">
        <v>4</v>
      </c>
      <c r="G620">
        <v>0.24</v>
      </c>
      <c r="H620">
        <v>0.37</v>
      </c>
      <c r="I620" t="s">
        <v>16</v>
      </c>
      <c r="J620" t="s">
        <v>91</v>
      </c>
      <c r="K620">
        <f t="shared" si="9"/>
        <v>183.72</v>
      </c>
    </row>
    <row r="621" spans="1:11">
      <c r="A621">
        <v>620</v>
      </c>
      <c r="B621" s="1">
        <v>45538</v>
      </c>
      <c r="C621" t="s">
        <v>14</v>
      </c>
      <c r="D621" t="s">
        <v>15</v>
      </c>
      <c r="E621">
        <v>1055.01</v>
      </c>
      <c r="F621">
        <v>3</v>
      </c>
      <c r="G621">
        <v>0.16</v>
      </c>
      <c r="H621">
        <v>0.39</v>
      </c>
      <c r="I621" t="s">
        <v>24</v>
      </c>
      <c r="J621" t="s">
        <v>215</v>
      </c>
      <c r="K621">
        <f t="shared" si="9"/>
        <v>3165.0299999999997</v>
      </c>
    </row>
    <row r="622" spans="1:11">
      <c r="A622">
        <v>621</v>
      </c>
      <c r="B622" s="1">
        <v>45385</v>
      </c>
      <c r="C622" t="s">
        <v>31</v>
      </c>
      <c r="D622" t="s">
        <v>11</v>
      </c>
      <c r="E622">
        <v>604.37</v>
      </c>
      <c r="F622">
        <v>2</v>
      </c>
      <c r="G622">
        <v>0.14000000000000001</v>
      </c>
      <c r="H622">
        <v>0.32</v>
      </c>
      <c r="I622" t="s">
        <v>16</v>
      </c>
      <c r="J622" t="s">
        <v>285</v>
      </c>
      <c r="K622">
        <f t="shared" si="9"/>
        <v>1208.74</v>
      </c>
    </row>
    <row r="623" spans="1:11">
      <c r="A623">
        <v>622</v>
      </c>
      <c r="B623" s="1">
        <v>45633</v>
      </c>
      <c r="C623" t="s">
        <v>10</v>
      </c>
      <c r="D623" t="s">
        <v>11</v>
      </c>
      <c r="E623">
        <v>969.91</v>
      </c>
      <c r="F623">
        <v>1</v>
      </c>
      <c r="G623">
        <v>0.05</v>
      </c>
      <c r="H623">
        <v>0.27</v>
      </c>
      <c r="I623" t="s">
        <v>16</v>
      </c>
      <c r="J623" t="s">
        <v>102</v>
      </c>
      <c r="K623">
        <f t="shared" si="9"/>
        <v>969.91</v>
      </c>
    </row>
    <row r="624" spans="1:11">
      <c r="A624">
        <v>623</v>
      </c>
      <c r="B624" s="1">
        <v>45392</v>
      </c>
      <c r="C624" t="s">
        <v>20</v>
      </c>
      <c r="D624" t="s">
        <v>15</v>
      </c>
      <c r="E624">
        <v>1286.43</v>
      </c>
      <c r="F624">
        <v>4</v>
      </c>
      <c r="G624">
        <v>0</v>
      </c>
      <c r="H624">
        <v>0.1</v>
      </c>
      <c r="I624" t="s">
        <v>12</v>
      </c>
      <c r="J624" t="s">
        <v>197</v>
      </c>
      <c r="K624">
        <f t="shared" si="9"/>
        <v>5145.72</v>
      </c>
    </row>
    <row r="625" spans="1:11">
      <c r="A625">
        <v>624</v>
      </c>
      <c r="B625" s="1">
        <v>45507</v>
      </c>
      <c r="C625" t="s">
        <v>26</v>
      </c>
      <c r="D625" t="s">
        <v>11</v>
      </c>
      <c r="E625">
        <v>581.04999999999995</v>
      </c>
      <c r="F625">
        <v>4</v>
      </c>
      <c r="G625">
        <v>7.0000000000000007E-2</v>
      </c>
      <c r="H625">
        <v>0.28999999999999998</v>
      </c>
      <c r="I625" t="s">
        <v>21</v>
      </c>
      <c r="J625" t="s">
        <v>158</v>
      </c>
      <c r="K625">
        <f t="shared" si="9"/>
        <v>2324.1999999999998</v>
      </c>
    </row>
    <row r="626" spans="1:11">
      <c r="A626">
        <v>625</v>
      </c>
      <c r="B626" s="1">
        <v>45569</v>
      </c>
      <c r="C626" t="s">
        <v>31</v>
      </c>
      <c r="D626" t="s">
        <v>11</v>
      </c>
      <c r="E626">
        <v>1216.92</v>
      </c>
      <c r="F626">
        <v>2</v>
      </c>
      <c r="G626">
        <v>0.15</v>
      </c>
      <c r="H626">
        <v>0.34</v>
      </c>
      <c r="I626" t="s">
        <v>24</v>
      </c>
      <c r="J626" t="s">
        <v>98</v>
      </c>
      <c r="K626">
        <f t="shared" si="9"/>
        <v>2433.84</v>
      </c>
    </row>
    <row r="627" spans="1:11">
      <c r="A627">
        <v>626</v>
      </c>
      <c r="B627" s="1">
        <v>45464</v>
      </c>
      <c r="C627" t="s">
        <v>10</v>
      </c>
      <c r="D627" t="s">
        <v>11</v>
      </c>
      <c r="E627">
        <v>657.34</v>
      </c>
      <c r="F627">
        <v>1</v>
      </c>
      <c r="G627">
        <v>0.12</v>
      </c>
      <c r="H627">
        <v>0.37</v>
      </c>
      <c r="I627" t="s">
        <v>21</v>
      </c>
      <c r="J627" t="s">
        <v>251</v>
      </c>
      <c r="K627">
        <f t="shared" si="9"/>
        <v>657.34</v>
      </c>
    </row>
    <row r="628" spans="1:11">
      <c r="A628">
        <v>627</v>
      </c>
      <c r="B628" s="1">
        <v>45325</v>
      </c>
      <c r="C628" t="s">
        <v>10</v>
      </c>
      <c r="D628" t="s">
        <v>11</v>
      </c>
      <c r="E628">
        <v>199.79</v>
      </c>
      <c r="F628">
        <v>1</v>
      </c>
      <c r="G628">
        <v>0.05</v>
      </c>
      <c r="H628">
        <v>0.4</v>
      </c>
      <c r="I628" t="s">
        <v>16</v>
      </c>
      <c r="J628" t="s">
        <v>223</v>
      </c>
      <c r="K628">
        <f t="shared" si="9"/>
        <v>199.79</v>
      </c>
    </row>
    <row r="629" spans="1:11">
      <c r="A629">
        <v>628</v>
      </c>
      <c r="B629" s="1">
        <v>45408</v>
      </c>
      <c r="C629" t="s">
        <v>20</v>
      </c>
      <c r="D629" t="s">
        <v>15</v>
      </c>
      <c r="E629">
        <v>1490.05</v>
      </c>
      <c r="F629">
        <v>1</v>
      </c>
      <c r="G629">
        <v>0.23</v>
      </c>
      <c r="H629">
        <v>0.21</v>
      </c>
      <c r="I629" t="s">
        <v>12</v>
      </c>
      <c r="J629" t="s">
        <v>65</v>
      </c>
      <c r="K629">
        <f t="shared" si="9"/>
        <v>1490.05</v>
      </c>
    </row>
    <row r="630" spans="1:11">
      <c r="A630">
        <v>629</v>
      </c>
      <c r="B630" s="1">
        <v>45497</v>
      </c>
      <c r="C630" t="s">
        <v>20</v>
      </c>
      <c r="D630" t="s">
        <v>15</v>
      </c>
      <c r="E630">
        <v>73.11</v>
      </c>
      <c r="F630">
        <v>3</v>
      </c>
      <c r="G630">
        <v>0.28999999999999998</v>
      </c>
      <c r="H630">
        <v>0.27</v>
      </c>
      <c r="I630" t="s">
        <v>16</v>
      </c>
      <c r="J630" t="s">
        <v>77</v>
      </c>
      <c r="K630">
        <f t="shared" si="9"/>
        <v>219.32999999999998</v>
      </c>
    </row>
    <row r="631" spans="1:11">
      <c r="A631">
        <v>630</v>
      </c>
      <c r="B631" s="1">
        <v>45382</v>
      </c>
      <c r="C631" t="s">
        <v>14</v>
      </c>
      <c r="D631" t="s">
        <v>15</v>
      </c>
      <c r="E631">
        <v>942.51</v>
      </c>
      <c r="F631">
        <v>5</v>
      </c>
      <c r="G631">
        <v>0.08</v>
      </c>
      <c r="H631">
        <v>0.27</v>
      </c>
      <c r="I631" t="s">
        <v>21</v>
      </c>
      <c r="J631" t="s">
        <v>57</v>
      </c>
      <c r="K631">
        <f t="shared" si="9"/>
        <v>4712.55</v>
      </c>
    </row>
    <row r="632" spans="1:11">
      <c r="A632">
        <v>631</v>
      </c>
      <c r="B632" s="1">
        <v>45656</v>
      </c>
      <c r="C632" t="s">
        <v>14</v>
      </c>
      <c r="D632" t="s">
        <v>15</v>
      </c>
      <c r="E632">
        <v>638.02</v>
      </c>
      <c r="F632">
        <v>1</v>
      </c>
      <c r="G632">
        <v>7.0000000000000007E-2</v>
      </c>
      <c r="H632">
        <v>0.16</v>
      </c>
      <c r="I632" t="s">
        <v>12</v>
      </c>
      <c r="J632" t="s">
        <v>188</v>
      </c>
      <c r="K632">
        <f t="shared" si="9"/>
        <v>638.02</v>
      </c>
    </row>
    <row r="633" spans="1:11">
      <c r="A633">
        <v>632</v>
      </c>
      <c r="B633" s="1">
        <v>45484</v>
      </c>
      <c r="C633" t="s">
        <v>23</v>
      </c>
      <c r="D633" t="s">
        <v>15</v>
      </c>
      <c r="E633">
        <v>1462.2</v>
      </c>
      <c r="F633">
        <v>2</v>
      </c>
      <c r="G633">
        <v>0.25</v>
      </c>
      <c r="H633">
        <v>0.33</v>
      </c>
      <c r="I633" t="s">
        <v>24</v>
      </c>
      <c r="J633" t="s">
        <v>65</v>
      </c>
      <c r="K633">
        <f t="shared" si="9"/>
        <v>2924.4</v>
      </c>
    </row>
    <row r="634" spans="1:11">
      <c r="A634">
        <v>633</v>
      </c>
      <c r="B634" s="1">
        <v>45359</v>
      </c>
      <c r="C634" t="s">
        <v>23</v>
      </c>
      <c r="D634" t="s">
        <v>15</v>
      </c>
      <c r="E634">
        <v>283.45</v>
      </c>
      <c r="F634">
        <v>2</v>
      </c>
      <c r="G634">
        <v>0.2</v>
      </c>
      <c r="H634">
        <v>0.17</v>
      </c>
      <c r="I634" t="s">
        <v>21</v>
      </c>
      <c r="J634" t="s">
        <v>88</v>
      </c>
      <c r="K634">
        <f t="shared" si="9"/>
        <v>566.9</v>
      </c>
    </row>
    <row r="635" spans="1:11">
      <c r="A635">
        <v>634</v>
      </c>
      <c r="B635" s="1">
        <v>45367</v>
      </c>
      <c r="C635" t="s">
        <v>10</v>
      </c>
      <c r="D635" t="s">
        <v>11</v>
      </c>
      <c r="E635">
        <v>882.89</v>
      </c>
      <c r="F635">
        <v>3</v>
      </c>
      <c r="G635">
        <v>0.17</v>
      </c>
      <c r="H635">
        <v>0.23</v>
      </c>
      <c r="I635" t="s">
        <v>12</v>
      </c>
      <c r="J635" t="s">
        <v>36</v>
      </c>
      <c r="K635">
        <f t="shared" si="9"/>
        <v>2648.67</v>
      </c>
    </row>
    <row r="636" spans="1:11">
      <c r="A636">
        <v>635</v>
      </c>
      <c r="B636" s="1">
        <v>45618</v>
      </c>
      <c r="C636" t="s">
        <v>31</v>
      </c>
      <c r="D636" t="s">
        <v>11</v>
      </c>
      <c r="E636">
        <v>1144.19</v>
      </c>
      <c r="F636">
        <v>3</v>
      </c>
      <c r="G636">
        <v>0.04</v>
      </c>
      <c r="H636">
        <v>0.23</v>
      </c>
      <c r="I636" t="s">
        <v>16</v>
      </c>
      <c r="J636" t="s">
        <v>34</v>
      </c>
      <c r="K636">
        <f t="shared" si="9"/>
        <v>3432.57</v>
      </c>
    </row>
    <row r="637" spans="1:11">
      <c r="A637">
        <v>636</v>
      </c>
      <c r="B637" s="1">
        <v>45653</v>
      </c>
      <c r="C637" t="s">
        <v>23</v>
      </c>
      <c r="D637" t="s">
        <v>15</v>
      </c>
      <c r="E637">
        <v>1272.6300000000001</v>
      </c>
      <c r="F637">
        <v>5</v>
      </c>
      <c r="G637">
        <v>0.13</v>
      </c>
      <c r="H637">
        <v>0.33</v>
      </c>
      <c r="I637" t="s">
        <v>12</v>
      </c>
      <c r="J637" t="s">
        <v>174</v>
      </c>
      <c r="K637">
        <f t="shared" si="9"/>
        <v>6363.1500000000005</v>
      </c>
    </row>
    <row r="638" spans="1:11">
      <c r="A638">
        <v>637</v>
      </c>
      <c r="B638" s="1">
        <v>45332</v>
      </c>
      <c r="C638" t="s">
        <v>31</v>
      </c>
      <c r="D638" t="s">
        <v>11</v>
      </c>
      <c r="E638">
        <v>1336.11</v>
      </c>
      <c r="F638">
        <v>2</v>
      </c>
      <c r="G638">
        <v>0.06</v>
      </c>
      <c r="H638">
        <v>0.28000000000000003</v>
      </c>
      <c r="I638" t="s">
        <v>12</v>
      </c>
      <c r="J638" t="s">
        <v>266</v>
      </c>
      <c r="K638">
        <f t="shared" si="9"/>
        <v>2672.22</v>
      </c>
    </row>
    <row r="639" spans="1:11">
      <c r="A639">
        <v>638</v>
      </c>
      <c r="B639" s="1">
        <v>45562</v>
      </c>
      <c r="C639" t="s">
        <v>10</v>
      </c>
      <c r="D639" t="s">
        <v>11</v>
      </c>
      <c r="E639">
        <v>461.15</v>
      </c>
      <c r="F639">
        <v>4</v>
      </c>
      <c r="G639">
        <v>0.19</v>
      </c>
      <c r="H639">
        <v>0.21</v>
      </c>
      <c r="I639" t="s">
        <v>12</v>
      </c>
      <c r="J639" t="s">
        <v>139</v>
      </c>
      <c r="K639">
        <f t="shared" si="9"/>
        <v>1844.6</v>
      </c>
    </row>
    <row r="640" spans="1:11">
      <c r="A640">
        <v>639</v>
      </c>
      <c r="B640" s="1">
        <v>45331</v>
      </c>
      <c r="C640" t="s">
        <v>23</v>
      </c>
      <c r="D640" t="s">
        <v>15</v>
      </c>
      <c r="E640">
        <v>1322.26</v>
      </c>
      <c r="F640">
        <v>1</v>
      </c>
      <c r="G640">
        <v>0.12</v>
      </c>
      <c r="H640">
        <v>0.34</v>
      </c>
      <c r="I640" t="s">
        <v>12</v>
      </c>
      <c r="J640" t="s">
        <v>248</v>
      </c>
      <c r="K640">
        <f t="shared" si="9"/>
        <v>1322.26</v>
      </c>
    </row>
    <row r="641" spans="1:11">
      <c r="A641">
        <v>640</v>
      </c>
      <c r="B641" s="1">
        <v>45295</v>
      </c>
      <c r="C641" t="s">
        <v>26</v>
      </c>
      <c r="D641" t="s">
        <v>11</v>
      </c>
      <c r="E641">
        <v>95.27</v>
      </c>
      <c r="F641">
        <v>4</v>
      </c>
      <c r="G641">
        <v>0.21</v>
      </c>
      <c r="H641">
        <v>0.33</v>
      </c>
      <c r="I641" t="s">
        <v>24</v>
      </c>
      <c r="J641" t="s">
        <v>289</v>
      </c>
      <c r="K641">
        <f t="shared" si="9"/>
        <v>381.08</v>
      </c>
    </row>
    <row r="642" spans="1:11">
      <c r="A642">
        <v>641</v>
      </c>
      <c r="B642" s="1">
        <v>45407</v>
      </c>
      <c r="C642" t="s">
        <v>31</v>
      </c>
      <c r="D642" t="s">
        <v>11</v>
      </c>
      <c r="E642">
        <v>248.6</v>
      </c>
      <c r="F642">
        <v>1</v>
      </c>
      <c r="G642">
        <v>0.14000000000000001</v>
      </c>
      <c r="H642">
        <v>0.11</v>
      </c>
      <c r="I642" t="s">
        <v>21</v>
      </c>
      <c r="J642" t="s">
        <v>79</v>
      </c>
      <c r="K642">
        <f t="shared" si="9"/>
        <v>248.6</v>
      </c>
    </row>
    <row r="643" spans="1:11">
      <c r="A643">
        <v>642</v>
      </c>
      <c r="B643" s="1">
        <v>45460</v>
      </c>
      <c r="C643" t="s">
        <v>23</v>
      </c>
      <c r="D643" t="s">
        <v>15</v>
      </c>
      <c r="E643">
        <v>652.21</v>
      </c>
      <c r="F643">
        <v>5</v>
      </c>
      <c r="G643">
        <v>0.12</v>
      </c>
      <c r="H643">
        <v>0.26</v>
      </c>
      <c r="I643" t="s">
        <v>21</v>
      </c>
      <c r="J643" t="s">
        <v>290</v>
      </c>
      <c r="K643">
        <f t="shared" si="9"/>
        <v>3261.05</v>
      </c>
    </row>
    <row r="644" spans="1:11">
      <c r="A644">
        <v>643</v>
      </c>
      <c r="B644" s="1">
        <v>45604</v>
      </c>
      <c r="C644" t="s">
        <v>10</v>
      </c>
      <c r="D644" t="s">
        <v>11</v>
      </c>
      <c r="E644">
        <v>25.02</v>
      </c>
      <c r="F644">
        <v>1</v>
      </c>
      <c r="G644">
        <v>0.02</v>
      </c>
      <c r="H644">
        <v>0.21</v>
      </c>
      <c r="I644" t="s">
        <v>12</v>
      </c>
      <c r="J644" t="s">
        <v>265</v>
      </c>
      <c r="K644">
        <f t="shared" ref="K644:K707" si="10">E644*F644</f>
        <v>25.02</v>
      </c>
    </row>
    <row r="645" spans="1:11">
      <c r="A645">
        <v>644</v>
      </c>
      <c r="B645" s="1">
        <v>45470</v>
      </c>
      <c r="C645" t="s">
        <v>10</v>
      </c>
      <c r="D645" t="s">
        <v>11</v>
      </c>
      <c r="E645">
        <v>1460.29</v>
      </c>
      <c r="F645">
        <v>5</v>
      </c>
      <c r="G645">
        <v>0.09</v>
      </c>
      <c r="H645">
        <v>0.17</v>
      </c>
      <c r="I645" t="s">
        <v>24</v>
      </c>
      <c r="J645" t="s">
        <v>221</v>
      </c>
      <c r="K645">
        <f t="shared" si="10"/>
        <v>7301.45</v>
      </c>
    </row>
    <row r="646" spans="1:11">
      <c r="A646">
        <v>645</v>
      </c>
      <c r="B646" s="1">
        <v>45530</v>
      </c>
      <c r="C646" t="s">
        <v>26</v>
      </c>
      <c r="D646" t="s">
        <v>11</v>
      </c>
      <c r="E646">
        <v>101.55</v>
      </c>
      <c r="F646">
        <v>4</v>
      </c>
      <c r="G646">
        <v>0.28999999999999998</v>
      </c>
      <c r="H646">
        <v>0.17</v>
      </c>
      <c r="I646" t="s">
        <v>16</v>
      </c>
      <c r="J646" t="s">
        <v>90</v>
      </c>
      <c r="K646">
        <f t="shared" si="10"/>
        <v>406.2</v>
      </c>
    </row>
    <row r="647" spans="1:11">
      <c r="A647">
        <v>646</v>
      </c>
      <c r="B647" s="1">
        <v>45481</v>
      </c>
      <c r="C647" t="s">
        <v>20</v>
      </c>
      <c r="D647" t="s">
        <v>15</v>
      </c>
      <c r="E647">
        <v>638.52</v>
      </c>
      <c r="F647">
        <v>5</v>
      </c>
      <c r="G647">
        <v>0.13</v>
      </c>
      <c r="H647">
        <v>0.19</v>
      </c>
      <c r="I647" t="s">
        <v>16</v>
      </c>
      <c r="J647" t="s">
        <v>145</v>
      </c>
      <c r="K647">
        <f t="shared" si="10"/>
        <v>3192.6</v>
      </c>
    </row>
    <row r="648" spans="1:11">
      <c r="A648">
        <v>647</v>
      </c>
      <c r="B648" s="1">
        <v>45338</v>
      </c>
      <c r="C648" t="s">
        <v>20</v>
      </c>
      <c r="D648" t="s">
        <v>15</v>
      </c>
      <c r="E648">
        <v>1231.5899999999999</v>
      </c>
      <c r="F648">
        <v>3</v>
      </c>
      <c r="G648">
        <v>0.08</v>
      </c>
      <c r="H648">
        <v>0.14000000000000001</v>
      </c>
      <c r="I648" t="s">
        <v>12</v>
      </c>
      <c r="J648" t="s">
        <v>285</v>
      </c>
      <c r="K648">
        <f t="shared" si="10"/>
        <v>3694.7699999999995</v>
      </c>
    </row>
    <row r="649" spans="1:11">
      <c r="A649">
        <v>648</v>
      </c>
      <c r="B649" s="1">
        <v>45563</v>
      </c>
      <c r="C649" t="s">
        <v>20</v>
      </c>
      <c r="D649" t="s">
        <v>15</v>
      </c>
      <c r="E649">
        <v>1214.8699999999999</v>
      </c>
      <c r="F649">
        <v>5</v>
      </c>
      <c r="G649">
        <v>0.16</v>
      </c>
      <c r="H649">
        <v>0.14000000000000001</v>
      </c>
      <c r="I649" t="s">
        <v>12</v>
      </c>
      <c r="J649" t="s">
        <v>168</v>
      </c>
      <c r="K649">
        <f t="shared" si="10"/>
        <v>6074.3499999999995</v>
      </c>
    </row>
    <row r="650" spans="1:11">
      <c r="A650">
        <v>649</v>
      </c>
      <c r="B650" s="1">
        <v>45546</v>
      </c>
      <c r="C650" t="s">
        <v>14</v>
      </c>
      <c r="D650" t="s">
        <v>15</v>
      </c>
      <c r="E650">
        <v>140.72</v>
      </c>
      <c r="F650">
        <v>2</v>
      </c>
      <c r="G650">
        <v>0.21</v>
      </c>
      <c r="H650">
        <v>0.15</v>
      </c>
      <c r="I650" t="s">
        <v>21</v>
      </c>
      <c r="J650" t="s">
        <v>145</v>
      </c>
      <c r="K650">
        <f t="shared" si="10"/>
        <v>281.44</v>
      </c>
    </row>
    <row r="651" spans="1:11">
      <c r="A651">
        <v>650</v>
      </c>
      <c r="B651" s="1">
        <v>45564</v>
      </c>
      <c r="C651" t="s">
        <v>10</v>
      </c>
      <c r="D651" t="s">
        <v>11</v>
      </c>
      <c r="E651">
        <v>788.45</v>
      </c>
      <c r="F651">
        <v>1</v>
      </c>
      <c r="G651">
        <v>0.28999999999999998</v>
      </c>
      <c r="H651">
        <v>0.11</v>
      </c>
      <c r="I651" t="s">
        <v>16</v>
      </c>
      <c r="J651" t="s">
        <v>233</v>
      </c>
      <c r="K651">
        <f t="shared" si="10"/>
        <v>788.45</v>
      </c>
    </row>
    <row r="652" spans="1:11">
      <c r="A652">
        <v>651</v>
      </c>
      <c r="B652" s="1">
        <v>45648</v>
      </c>
      <c r="C652" t="s">
        <v>14</v>
      </c>
      <c r="D652" t="s">
        <v>15</v>
      </c>
      <c r="E652">
        <v>912.29</v>
      </c>
      <c r="F652">
        <v>4</v>
      </c>
      <c r="G652">
        <v>0.19</v>
      </c>
      <c r="H652">
        <v>0.14000000000000001</v>
      </c>
      <c r="I652" t="s">
        <v>16</v>
      </c>
      <c r="J652" t="s">
        <v>291</v>
      </c>
      <c r="K652">
        <f t="shared" si="10"/>
        <v>3649.16</v>
      </c>
    </row>
    <row r="653" spans="1:11">
      <c r="A653">
        <v>652</v>
      </c>
      <c r="B653" s="1">
        <v>45372</v>
      </c>
      <c r="C653" t="s">
        <v>14</v>
      </c>
      <c r="D653" t="s">
        <v>15</v>
      </c>
      <c r="E653">
        <v>176.21</v>
      </c>
      <c r="F653">
        <v>1</v>
      </c>
      <c r="G653">
        <v>0.21</v>
      </c>
      <c r="H653">
        <v>0.15</v>
      </c>
      <c r="I653" t="s">
        <v>16</v>
      </c>
      <c r="J653" t="s">
        <v>233</v>
      </c>
      <c r="K653">
        <f t="shared" si="10"/>
        <v>176.21</v>
      </c>
    </row>
    <row r="654" spans="1:11">
      <c r="A654">
        <v>653</v>
      </c>
      <c r="B654" s="1">
        <v>45489</v>
      </c>
      <c r="C654" t="s">
        <v>26</v>
      </c>
      <c r="D654" t="s">
        <v>11</v>
      </c>
      <c r="E654">
        <v>1401.06</v>
      </c>
      <c r="F654">
        <v>2</v>
      </c>
      <c r="G654">
        <v>0.21</v>
      </c>
      <c r="H654">
        <v>0.31</v>
      </c>
      <c r="I654" t="s">
        <v>24</v>
      </c>
      <c r="J654" t="s">
        <v>146</v>
      </c>
      <c r="K654">
        <f t="shared" si="10"/>
        <v>2802.12</v>
      </c>
    </row>
    <row r="655" spans="1:11">
      <c r="A655">
        <v>654</v>
      </c>
      <c r="B655" s="1">
        <v>45372</v>
      </c>
      <c r="C655" t="s">
        <v>23</v>
      </c>
      <c r="D655" t="s">
        <v>15</v>
      </c>
      <c r="E655">
        <v>1383.47</v>
      </c>
      <c r="F655">
        <v>2</v>
      </c>
      <c r="G655">
        <v>0.22</v>
      </c>
      <c r="H655">
        <v>0.36</v>
      </c>
      <c r="I655" t="s">
        <v>12</v>
      </c>
      <c r="J655" t="s">
        <v>164</v>
      </c>
      <c r="K655">
        <f t="shared" si="10"/>
        <v>2766.94</v>
      </c>
    </row>
    <row r="656" spans="1:11">
      <c r="A656">
        <v>655</v>
      </c>
      <c r="B656" s="1">
        <v>45553</v>
      </c>
      <c r="C656" t="s">
        <v>31</v>
      </c>
      <c r="D656" t="s">
        <v>11</v>
      </c>
      <c r="E656">
        <v>70.52</v>
      </c>
      <c r="F656">
        <v>1</v>
      </c>
      <c r="G656">
        <v>0.06</v>
      </c>
      <c r="H656">
        <v>0.2</v>
      </c>
      <c r="I656" t="s">
        <v>21</v>
      </c>
      <c r="J656" t="s">
        <v>202</v>
      </c>
      <c r="K656">
        <f t="shared" si="10"/>
        <v>70.52</v>
      </c>
    </row>
    <row r="657" spans="1:11">
      <c r="A657">
        <v>656</v>
      </c>
      <c r="B657" s="1">
        <v>45367</v>
      </c>
      <c r="C657" t="s">
        <v>14</v>
      </c>
      <c r="D657" t="s">
        <v>15</v>
      </c>
      <c r="E657">
        <v>1006.09</v>
      </c>
      <c r="F657">
        <v>5</v>
      </c>
      <c r="G657">
        <v>0.26</v>
      </c>
      <c r="H657">
        <v>0.31</v>
      </c>
      <c r="I657" t="s">
        <v>21</v>
      </c>
      <c r="J657" t="s">
        <v>207</v>
      </c>
      <c r="K657">
        <f t="shared" si="10"/>
        <v>5030.45</v>
      </c>
    </row>
    <row r="658" spans="1:11">
      <c r="A658">
        <v>657</v>
      </c>
      <c r="B658" s="1">
        <v>45562</v>
      </c>
      <c r="C658" t="s">
        <v>14</v>
      </c>
      <c r="D658" t="s">
        <v>15</v>
      </c>
      <c r="E658">
        <v>1014.81</v>
      </c>
      <c r="F658">
        <v>5</v>
      </c>
      <c r="G658">
        <v>0.28000000000000003</v>
      </c>
      <c r="H658">
        <v>0.25</v>
      </c>
      <c r="I658" t="s">
        <v>21</v>
      </c>
      <c r="J658" t="s">
        <v>253</v>
      </c>
      <c r="K658">
        <f t="shared" si="10"/>
        <v>5074.0499999999993</v>
      </c>
    </row>
    <row r="659" spans="1:11">
      <c r="A659">
        <v>658</v>
      </c>
      <c r="B659" s="1">
        <v>45369</v>
      </c>
      <c r="C659" t="s">
        <v>14</v>
      </c>
      <c r="D659" t="s">
        <v>15</v>
      </c>
      <c r="E659">
        <v>772.34</v>
      </c>
      <c r="F659">
        <v>4</v>
      </c>
      <c r="G659">
        <v>0.12</v>
      </c>
      <c r="H659">
        <v>0.11</v>
      </c>
      <c r="I659" t="s">
        <v>16</v>
      </c>
      <c r="J659" t="s">
        <v>254</v>
      </c>
      <c r="K659">
        <f t="shared" si="10"/>
        <v>3089.36</v>
      </c>
    </row>
    <row r="660" spans="1:11">
      <c r="A660">
        <v>659</v>
      </c>
      <c r="B660" s="1">
        <v>45606</v>
      </c>
      <c r="C660" t="s">
        <v>10</v>
      </c>
      <c r="D660" t="s">
        <v>11</v>
      </c>
      <c r="E660">
        <v>1062.96</v>
      </c>
      <c r="F660">
        <v>2</v>
      </c>
      <c r="G660">
        <v>0.13</v>
      </c>
      <c r="H660">
        <v>0.17</v>
      </c>
      <c r="I660" t="s">
        <v>16</v>
      </c>
      <c r="J660" t="s">
        <v>73</v>
      </c>
      <c r="K660">
        <f t="shared" si="10"/>
        <v>2125.92</v>
      </c>
    </row>
    <row r="661" spans="1:11">
      <c r="A661">
        <v>660</v>
      </c>
      <c r="B661" s="1">
        <v>45484</v>
      </c>
      <c r="C661" t="s">
        <v>31</v>
      </c>
      <c r="D661" t="s">
        <v>11</v>
      </c>
      <c r="E661">
        <v>764.1</v>
      </c>
      <c r="F661">
        <v>1</v>
      </c>
      <c r="G661">
        <v>0.16</v>
      </c>
      <c r="H661">
        <v>0.26</v>
      </c>
      <c r="I661" t="s">
        <v>24</v>
      </c>
      <c r="J661" t="s">
        <v>194</v>
      </c>
      <c r="K661">
        <f t="shared" si="10"/>
        <v>764.1</v>
      </c>
    </row>
    <row r="662" spans="1:11">
      <c r="A662">
        <v>661</v>
      </c>
      <c r="B662" s="1">
        <v>45438</v>
      </c>
      <c r="C662" t="s">
        <v>20</v>
      </c>
      <c r="D662" t="s">
        <v>15</v>
      </c>
      <c r="E662">
        <v>480.53</v>
      </c>
      <c r="F662">
        <v>5</v>
      </c>
      <c r="G662">
        <v>0.28999999999999998</v>
      </c>
      <c r="H662">
        <v>0.31</v>
      </c>
      <c r="I662" t="s">
        <v>21</v>
      </c>
      <c r="J662" t="s">
        <v>85</v>
      </c>
      <c r="K662">
        <f t="shared" si="10"/>
        <v>2402.6499999999996</v>
      </c>
    </row>
    <row r="663" spans="1:11">
      <c r="A663">
        <v>662</v>
      </c>
      <c r="B663" s="1">
        <v>45386</v>
      </c>
      <c r="C663" t="s">
        <v>10</v>
      </c>
      <c r="D663" t="s">
        <v>11</v>
      </c>
      <c r="E663">
        <v>609.91999999999996</v>
      </c>
      <c r="F663">
        <v>3</v>
      </c>
      <c r="G663">
        <v>0.26</v>
      </c>
      <c r="H663">
        <v>0.34</v>
      </c>
      <c r="I663" t="s">
        <v>12</v>
      </c>
      <c r="J663" t="s">
        <v>100</v>
      </c>
      <c r="K663">
        <f t="shared" si="10"/>
        <v>1829.7599999999998</v>
      </c>
    </row>
    <row r="664" spans="1:11">
      <c r="A664">
        <v>663</v>
      </c>
      <c r="B664" s="1">
        <v>45619</v>
      </c>
      <c r="C664" t="s">
        <v>26</v>
      </c>
      <c r="D664" t="s">
        <v>11</v>
      </c>
      <c r="E664">
        <v>481.94</v>
      </c>
      <c r="F664">
        <v>2</v>
      </c>
      <c r="G664">
        <v>0.26</v>
      </c>
      <c r="H664">
        <v>0.3</v>
      </c>
      <c r="I664" t="s">
        <v>16</v>
      </c>
      <c r="J664" t="s">
        <v>288</v>
      </c>
      <c r="K664">
        <f t="shared" si="10"/>
        <v>963.88</v>
      </c>
    </row>
    <row r="665" spans="1:11">
      <c r="A665">
        <v>664</v>
      </c>
      <c r="B665" s="1">
        <v>45470</v>
      </c>
      <c r="C665" t="s">
        <v>14</v>
      </c>
      <c r="D665" t="s">
        <v>15</v>
      </c>
      <c r="E665">
        <v>394.44</v>
      </c>
      <c r="F665">
        <v>3</v>
      </c>
      <c r="G665">
        <v>0.26</v>
      </c>
      <c r="H665">
        <v>0.39</v>
      </c>
      <c r="I665" t="s">
        <v>16</v>
      </c>
      <c r="J665" t="s">
        <v>28</v>
      </c>
      <c r="K665">
        <f t="shared" si="10"/>
        <v>1183.32</v>
      </c>
    </row>
    <row r="666" spans="1:11">
      <c r="A666">
        <v>665</v>
      </c>
      <c r="B666" s="1">
        <v>45344</v>
      </c>
      <c r="C666" t="s">
        <v>23</v>
      </c>
      <c r="D666" t="s">
        <v>15</v>
      </c>
      <c r="E666">
        <v>42.93</v>
      </c>
      <c r="F666">
        <v>4</v>
      </c>
      <c r="G666">
        <v>0.06</v>
      </c>
      <c r="H666">
        <v>0.11</v>
      </c>
      <c r="I666" t="s">
        <v>21</v>
      </c>
      <c r="J666" t="s">
        <v>195</v>
      </c>
      <c r="K666">
        <f t="shared" si="10"/>
        <v>171.72</v>
      </c>
    </row>
    <row r="667" spans="1:11">
      <c r="A667">
        <v>666</v>
      </c>
      <c r="B667" s="1">
        <v>45296</v>
      </c>
      <c r="C667" t="s">
        <v>23</v>
      </c>
      <c r="D667" t="s">
        <v>15</v>
      </c>
      <c r="E667">
        <v>477.5</v>
      </c>
      <c r="F667">
        <v>3</v>
      </c>
      <c r="G667">
        <v>0.12</v>
      </c>
      <c r="H667">
        <v>0.38</v>
      </c>
      <c r="I667" t="s">
        <v>12</v>
      </c>
      <c r="J667" t="s">
        <v>292</v>
      </c>
      <c r="K667">
        <f t="shared" si="10"/>
        <v>1432.5</v>
      </c>
    </row>
    <row r="668" spans="1:11">
      <c r="A668">
        <v>667</v>
      </c>
      <c r="B668" s="1">
        <v>45609</v>
      </c>
      <c r="C668" t="s">
        <v>10</v>
      </c>
      <c r="D668" t="s">
        <v>11</v>
      </c>
      <c r="E668">
        <v>1105.73</v>
      </c>
      <c r="F668">
        <v>5</v>
      </c>
      <c r="G668">
        <v>0.02</v>
      </c>
      <c r="H668">
        <v>0.34</v>
      </c>
      <c r="I668" t="s">
        <v>12</v>
      </c>
      <c r="J668" t="s">
        <v>120</v>
      </c>
      <c r="K668">
        <f t="shared" si="10"/>
        <v>5528.65</v>
      </c>
    </row>
    <row r="669" spans="1:11">
      <c r="A669">
        <v>668</v>
      </c>
      <c r="B669" s="1">
        <v>45338</v>
      </c>
      <c r="C669" t="s">
        <v>26</v>
      </c>
      <c r="D669" t="s">
        <v>11</v>
      </c>
      <c r="E669">
        <v>148.78</v>
      </c>
      <c r="F669">
        <v>1</v>
      </c>
      <c r="G669">
        <v>0.21</v>
      </c>
      <c r="H669">
        <v>0.2</v>
      </c>
      <c r="I669" t="s">
        <v>21</v>
      </c>
      <c r="J669" t="s">
        <v>179</v>
      </c>
      <c r="K669">
        <f t="shared" si="10"/>
        <v>148.78</v>
      </c>
    </row>
    <row r="670" spans="1:11">
      <c r="A670">
        <v>669</v>
      </c>
      <c r="B670" s="1">
        <v>45370</v>
      </c>
      <c r="C670" t="s">
        <v>26</v>
      </c>
      <c r="D670" t="s">
        <v>11</v>
      </c>
      <c r="E670">
        <v>587.63</v>
      </c>
      <c r="F670">
        <v>1</v>
      </c>
      <c r="G670">
        <v>0.19</v>
      </c>
      <c r="H670">
        <v>0.3</v>
      </c>
      <c r="I670" t="s">
        <v>16</v>
      </c>
      <c r="J670" t="s">
        <v>150</v>
      </c>
      <c r="K670">
        <f t="shared" si="10"/>
        <v>587.63</v>
      </c>
    </row>
    <row r="671" spans="1:11">
      <c r="A671">
        <v>670</v>
      </c>
      <c r="B671" s="1">
        <v>45320</v>
      </c>
      <c r="C671" t="s">
        <v>20</v>
      </c>
      <c r="D671" t="s">
        <v>15</v>
      </c>
      <c r="E671">
        <v>196.38</v>
      </c>
      <c r="F671">
        <v>3</v>
      </c>
      <c r="G671">
        <v>0.24</v>
      </c>
      <c r="H671">
        <v>0.28000000000000003</v>
      </c>
      <c r="I671" t="s">
        <v>12</v>
      </c>
      <c r="J671" t="s">
        <v>62</v>
      </c>
      <c r="K671">
        <f t="shared" si="10"/>
        <v>589.14</v>
      </c>
    </row>
    <row r="672" spans="1:11">
      <c r="A672">
        <v>671</v>
      </c>
      <c r="B672" s="1">
        <v>45353</v>
      </c>
      <c r="C672" t="s">
        <v>23</v>
      </c>
      <c r="D672" t="s">
        <v>15</v>
      </c>
      <c r="E672">
        <v>504.75</v>
      </c>
      <c r="F672">
        <v>2</v>
      </c>
      <c r="G672">
        <v>0.27</v>
      </c>
      <c r="H672">
        <v>0.1</v>
      </c>
      <c r="I672" t="s">
        <v>12</v>
      </c>
      <c r="J672" t="s">
        <v>40</v>
      </c>
      <c r="K672">
        <f t="shared" si="10"/>
        <v>1009.5</v>
      </c>
    </row>
    <row r="673" spans="1:11">
      <c r="A673">
        <v>672</v>
      </c>
      <c r="B673" s="1">
        <v>45609</v>
      </c>
      <c r="C673" t="s">
        <v>14</v>
      </c>
      <c r="D673" t="s">
        <v>15</v>
      </c>
      <c r="E673">
        <v>790.08</v>
      </c>
      <c r="F673">
        <v>1</v>
      </c>
      <c r="G673">
        <v>0.03</v>
      </c>
      <c r="H673">
        <v>0.26</v>
      </c>
      <c r="I673" t="s">
        <v>24</v>
      </c>
      <c r="J673" t="s">
        <v>276</v>
      </c>
      <c r="K673">
        <f t="shared" si="10"/>
        <v>790.08</v>
      </c>
    </row>
    <row r="674" spans="1:11">
      <c r="A674">
        <v>673</v>
      </c>
      <c r="B674" s="1">
        <v>45510</v>
      </c>
      <c r="C674" t="s">
        <v>26</v>
      </c>
      <c r="D674" t="s">
        <v>11</v>
      </c>
      <c r="E674">
        <v>844.36</v>
      </c>
      <c r="F674">
        <v>2</v>
      </c>
      <c r="G674">
        <v>0.21</v>
      </c>
      <c r="H674">
        <v>0.23</v>
      </c>
      <c r="I674" t="s">
        <v>12</v>
      </c>
      <c r="J674" t="s">
        <v>293</v>
      </c>
      <c r="K674">
        <f t="shared" si="10"/>
        <v>1688.72</v>
      </c>
    </row>
    <row r="675" spans="1:11">
      <c r="A675">
        <v>674</v>
      </c>
      <c r="B675" s="1">
        <v>45582</v>
      </c>
      <c r="C675" t="s">
        <v>23</v>
      </c>
      <c r="D675" t="s">
        <v>15</v>
      </c>
      <c r="E675">
        <v>791.56</v>
      </c>
      <c r="F675">
        <v>3</v>
      </c>
      <c r="G675">
        <v>0.18</v>
      </c>
      <c r="H675">
        <v>0.26</v>
      </c>
      <c r="I675" t="s">
        <v>24</v>
      </c>
      <c r="J675" t="s">
        <v>53</v>
      </c>
      <c r="K675">
        <f t="shared" si="10"/>
        <v>2374.6799999999998</v>
      </c>
    </row>
    <row r="676" spans="1:11">
      <c r="A676">
        <v>675</v>
      </c>
      <c r="B676" s="1">
        <v>45445</v>
      </c>
      <c r="C676" t="s">
        <v>10</v>
      </c>
      <c r="D676" t="s">
        <v>11</v>
      </c>
      <c r="E676">
        <v>421.09</v>
      </c>
      <c r="F676">
        <v>4</v>
      </c>
      <c r="G676">
        <v>0.16</v>
      </c>
      <c r="H676">
        <v>0.31</v>
      </c>
      <c r="I676" t="s">
        <v>24</v>
      </c>
      <c r="J676" t="s">
        <v>88</v>
      </c>
      <c r="K676">
        <f t="shared" si="10"/>
        <v>1684.36</v>
      </c>
    </row>
    <row r="677" spans="1:11">
      <c r="A677">
        <v>676</v>
      </c>
      <c r="B677" s="1">
        <v>45332</v>
      </c>
      <c r="C677" t="s">
        <v>14</v>
      </c>
      <c r="D677" t="s">
        <v>15</v>
      </c>
      <c r="E677">
        <v>915.36</v>
      </c>
      <c r="F677">
        <v>3</v>
      </c>
      <c r="G677">
        <v>0.02</v>
      </c>
      <c r="H677">
        <v>0.39</v>
      </c>
      <c r="I677" t="s">
        <v>16</v>
      </c>
      <c r="J677" t="s">
        <v>49</v>
      </c>
      <c r="K677">
        <f t="shared" si="10"/>
        <v>2746.08</v>
      </c>
    </row>
    <row r="678" spans="1:11">
      <c r="A678">
        <v>677</v>
      </c>
      <c r="B678" s="1">
        <v>45613</v>
      </c>
      <c r="C678" t="s">
        <v>31</v>
      </c>
      <c r="D678" t="s">
        <v>11</v>
      </c>
      <c r="E678">
        <v>160.80000000000001</v>
      </c>
      <c r="F678">
        <v>4</v>
      </c>
      <c r="G678">
        <v>0.14000000000000001</v>
      </c>
      <c r="H678">
        <v>0.13</v>
      </c>
      <c r="I678" t="s">
        <v>21</v>
      </c>
      <c r="J678" t="s">
        <v>294</v>
      </c>
      <c r="K678">
        <f t="shared" si="10"/>
        <v>643.20000000000005</v>
      </c>
    </row>
    <row r="679" spans="1:11">
      <c r="A679">
        <v>678</v>
      </c>
      <c r="B679" s="1">
        <v>45574</v>
      </c>
      <c r="C679" t="s">
        <v>23</v>
      </c>
      <c r="D679" t="s">
        <v>15</v>
      </c>
      <c r="E679">
        <v>419.42</v>
      </c>
      <c r="F679">
        <v>2</v>
      </c>
      <c r="G679">
        <v>0.21</v>
      </c>
      <c r="H679">
        <v>0.21</v>
      </c>
      <c r="I679" t="s">
        <v>21</v>
      </c>
      <c r="J679" t="s">
        <v>295</v>
      </c>
      <c r="K679">
        <f t="shared" si="10"/>
        <v>838.84</v>
      </c>
    </row>
    <row r="680" spans="1:11">
      <c r="A680">
        <v>679</v>
      </c>
      <c r="B680" s="1">
        <v>45391</v>
      </c>
      <c r="C680" t="s">
        <v>10</v>
      </c>
      <c r="D680" t="s">
        <v>11</v>
      </c>
      <c r="E680">
        <v>1022.14</v>
      </c>
      <c r="F680">
        <v>1</v>
      </c>
      <c r="G680">
        <v>0.2</v>
      </c>
      <c r="H680">
        <v>0.28000000000000003</v>
      </c>
      <c r="I680" t="s">
        <v>16</v>
      </c>
      <c r="J680" t="s">
        <v>296</v>
      </c>
      <c r="K680">
        <f t="shared" si="10"/>
        <v>1022.14</v>
      </c>
    </row>
    <row r="681" spans="1:11">
      <c r="A681">
        <v>680</v>
      </c>
      <c r="B681" s="1">
        <v>45445</v>
      </c>
      <c r="C681" t="s">
        <v>23</v>
      </c>
      <c r="D681" t="s">
        <v>15</v>
      </c>
      <c r="E681">
        <v>393.05</v>
      </c>
      <c r="F681">
        <v>2</v>
      </c>
      <c r="G681">
        <v>0.26</v>
      </c>
      <c r="H681">
        <v>0.38</v>
      </c>
      <c r="I681" t="s">
        <v>16</v>
      </c>
      <c r="J681" t="s">
        <v>198</v>
      </c>
      <c r="K681">
        <f t="shared" si="10"/>
        <v>786.1</v>
      </c>
    </row>
    <row r="682" spans="1:11">
      <c r="A682">
        <v>681</v>
      </c>
      <c r="B682" s="1">
        <v>45339</v>
      </c>
      <c r="C682" t="s">
        <v>26</v>
      </c>
      <c r="D682" t="s">
        <v>11</v>
      </c>
      <c r="E682">
        <v>687.4</v>
      </c>
      <c r="F682">
        <v>5</v>
      </c>
      <c r="G682">
        <v>0.28000000000000003</v>
      </c>
      <c r="H682">
        <v>0.32</v>
      </c>
      <c r="I682" t="s">
        <v>21</v>
      </c>
      <c r="J682" t="s">
        <v>297</v>
      </c>
      <c r="K682">
        <f t="shared" si="10"/>
        <v>3437</v>
      </c>
    </row>
    <row r="683" spans="1:11">
      <c r="A683">
        <v>682</v>
      </c>
      <c r="B683" s="1">
        <v>45575</v>
      </c>
      <c r="C683" t="s">
        <v>20</v>
      </c>
      <c r="D683" t="s">
        <v>15</v>
      </c>
      <c r="E683">
        <v>34.86</v>
      </c>
      <c r="F683">
        <v>4</v>
      </c>
      <c r="G683">
        <v>0.21</v>
      </c>
      <c r="H683">
        <v>0.3</v>
      </c>
      <c r="I683" t="s">
        <v>24</v>
      </c>
      <c r="J683" t="s">
        <v>96</v>
      </c>
      <c r="K683">
        <f t="shared" si="10"/>
        <v>139.44</v>
      </c>
    </row>
    <row r="684" spans="1:11">
      <c r="A684">
        <v>683</v>
      </c>
      <c r="B684" s="1">
        <v>45455</v>
      </c>
      <c r="C684" t="s">
        <v>10</v>
      </c>
      <c r="D684" t="s">
        <v>11</v>
      </c>
      <c r="E684">
        <v>950.54</v>
      </c>
      <c r="F684">
        <v>5</v>
      </c>
      <c r="G684">
        <v>0.17</v>
      </c>
      <c r="H684">
        <v>0.18</v>
      </c>
      <c r="I684" t="s">
        <v>16</v>
      </c>
      <c r="J684" t="s">
        <v>187</v>
      </c>
      <c r="K684">
        <f t="shared" si="10"/>
        <v>4752.7</v>
      </c>
    </row>
    <row r="685" spans="1:11">
      <c r="A685">
        <v>684</v>
      </c>
      <c r="B685" s="1">
        <v>45397</v>
      </c>
      <c r="C685" t="s">
        <v>31</v>
      </c>
      <c r="D685" t="s">
        <v>11</v>
      </c>
      <c r="E685">
        <v>1410.99</v>
      </c>
      <c r="F685">
        <v>2</v>
      </c>
      <c r="G685">
        <v>0.12</v>
      </c>
      <c r="H685">
        <v>0.35</v>
      </c>
      <c r="I685" t="s">
        <v>16</v>
      </c>
      <c r="J685" t="s">
        <v>298</v>
      </c>
      <c r="K685">
        <f t="shared" si="10"/>
        <v>2821.98</v>
      </c>
    </row>
    <row r="686" spans="1:11">
      <c r="A686">
        <v>685</v>
      </c>
      <c r="B686" s="1">
        <v>45469</v>
      </c>
      <c r="C686" t="s">
        <v>23</v>
      </c>
      <c r="D686" t="s">
        <v>15</v>
      </c>
      <c r="E686">
        <v>1115.6300000000001</v>
      </c>
      <c r="F686">
        <v>1</v>
      </c>
      <c r="G686">
        <v>0.15</v>
      </c>
      <c r="H686">
        <v>0.32</v>
      </c>
      <c r="I686" t="s">
        <v>16</v>
      </c>
      <c r="J686" t="s">
        <v>155</v>
      </c>
      <c r="K686">
        <f t="shared" si="10"/>
        <v>1115.6300000000001</v>
      </c>
    </row>
    <row r="687" spans="1:11">
      <c r="A687">
        <v>686</v>
      </c>
      <c r="B687" s="1">
        <v>45562</v>
      </c>
      <c r="C687" t="s">
        <v>10</v>
      </c>
      <c r="D687" t="s">
        <v>11</v>
      </c>
      <c r="E687">
        <v>161.62</v>
      </c>
      <c r="F687">
        <v>3</v>
      </c>
      <c r="G687">
        <v>0.03</v>
      </c>
      <c r="H687">
        <v>0.34</v>
      </c>
      <c r="I687" t="s">
        <v>21</v>
      </c>
      <c r="J687" t="s">
        <v>264</v>
      </c>
      <c r="K687">
        <f t="shared" si="10"/>
        <v>484.86</v>
      </c>
    </row>
    <row r="688" spans="1:11">
      <c r="A688">
        <v>687</v>
      </c>
      <c r="B688" s="1">
        <v>45539</v>
      </c>
      <c r="C688" t="s">
        <v>14</v>
      </c>
      <c r="D688" t="s">
        <v>15</v>
      </c>
      <c r="E688">
        <v>1230.45</v>
      </c>
      <c r="F688">
        <v>3</v>
      </c>
      <c r="G688">
        <v>0.22</v>
      </c>
      <c r="H688">
        <v>0.1</v>
      </c>
      <c r="I688" t="s">
        <v>12</v>
      </c>
      <c r="J688" t="s">
        <v>299</v>
      </c>
      <c r="K688">
        <f t="shared" si="10"/>
        <v>3691.3500000000004</v>
      </c>
    </row>
    <row r="689" spans="1:11">
      <c r="A689">
        <v>688</v>
      </c>
      <c r="B689" s="1">
        <v>45503</v>
      </c>
      <c r="C689" t="s">
        <v>20</v>
      </c>
      <c r="D689" t="s">
        <v>15</v>
      </c>
      <c r="E689">
        <v>363.03</v>
      </c>
      <c r="F689">
        <v>3</v>
      </c>
      <c r="G689">
        <v>0.19</v>
      </c>
      <c r="H689">
        <v>0.17</v>
      </c>
      <c r="I689" t="s">
        <v>21</v>
      </c>
      <c r="J689" t="s">
        <v>182</v>
      </c>
      <c r="K689">
        <f t="shared" si="10"/>
        <v>1089.0899999999999</v>
      </c>
    </row>
    <row r="690" spans="1:11">
      <c r="A690">
        <v>689</v>
      </c>
      <c r="B690" s="1">
        <v>45338</v>
      </c>
      <c r="C690" t="s">
        <v>14</v>
      </c>
      <c r="D690" t="s">
        <v>15</v>
      </c>
      <c r="E690">
        <v>325.94</v>
      </c>
      <c r="F690">
        <v>1</v>
      </c>
      <c r="G690">
        <v>0.25</v>
      </c>
      <c r="H690">
        <v>0.12</v>
      </c>
      <c r="I690" t="s">
        <v>24</v>
      </c>
      <c r="J690" t="s">
        <v>86</v>
      </c>
      <c r="K690">
        <f t="shared" si="10"/>
        <v>325.94</v>
      </c>
    </row>
    <row r="691" spans="1:11">
      <c r="A691">
        <v>690</v>
      </c>
      <c r="B691" s="1">
        <v>45581</v>
      </c>
      <c r="C691" t="s">
        <v>10</v>
      </c>
      <c r="D691" t="s">
        <v>11</v>
      </c>
      <c r="E691">
        <v>68.52</v>
      </c>
      <c r="F691">
        <v>1</v>
      </c>
      <c r="G691">
        <v>0.06</v>
      </c>
      <c r="H691">
        <v>0.18</v>
      </c>
      <c r="I691" t="s">
        <v>16</v>
      </c>
      <c r="J691" t="s">
        <v>287</v>
      </c>
      <c r="K691">
        <f t="shared" si="10"/>
        <v>68.52</v>
      </c>
    </row>
    <row r="692" spans="1:11">
      <c r="A692">
        <v>691</v>
      </c>
      <c r="B692" s="1">
        <v>45452</v>
      </c>
      <c r="C692" t="s">
        <v>20</v>
      </c>
      <c r="D692" t="s">
        <v>15</v>
      </c>
      <c r="E692">
        <v>117.23</v>
      </c>
      <c r="F692">
        <v>5</v>
      </c>
      <c r="G692">
        <v>0.13</v>
      </c>
      <c r="H692">
        <v>0.16</v>
      </c>
      <c r="I692" t="s">
        <v>21</v>
      </c>
      <c r="J692" t="s">
        <v>92</v>
      </c>
      <c r="K692">
        <f t="shared" si="10"/>
        <v>586.15</v>
      </c>
    </row>
    <row r="693" spans="1:11">
      <c r="A693">
        <v>692</v>
      </c>
      <c r="B693" s="1">
        <v>45629</v>
      </c>
      <c r="C693" t="s">
        <v>26</v>
      </c>
      <c r="D693" t="s">
        <v>11</v>
      </c>
      <c r="E693">
        <v>1017.49</v>
      </c>
      <c r="F693">
        <v>2</v>
      </c>
      <c r="G693">
        <v>0.11</v>
      </c>
      <c r="H693">
        <v>0.2</v>
      </c>
      <c r="I693" t="s">
        <v>16</v>
      </c>
      <c r="J693" t="s">
        <v>125</v>
      </c>
      <c r="K693">
        <f t="shared" si="10"/>
        <v>2034.98</v>
      </c>
    </row>
    <row r="694" spans="1:11">
      <c r="A694">
        <v>693</v>
      </c>
      <c r="B694" s="1">
        <v>45465</v>
      </c>
      <c r="C694" t="s">
        <v>14</v>
      </c>
      <c r="D694" t="s">
        <v>15</v>
      </c>
      <c r="E694">
        <v>1212.51</v>
      </c>
      <c r="F694">
        <v>3</v>
      </c>
      <c r="G694">
        <v>0.15</v>
      </c>
      <c r="H694">
        <v>0.18</v>
      </c>
      <c r="I694" t="s">
        <v>21</v>
      </c>
      <c r="J694" t="s">
        <v>135</v>
      </c>
      <c r="K694">
        <f t="shared" si="10"/>
        <v>3637.5299999999997</v>
      </c>
    </row>
    <row r="695" spans="1:11">
      <c r="A695">
        <v>694</v>
      </c>
      <c r="B695" s="1">
        <v>45555</v>
      </c>
      <c r="C695" t="s">
        <v>20</v>
      </c>
      <c r="D695" t="s">
        <v>15</v>
      </c>
      <c r="E695">
        <v>611.24</v>
      </c>
      <c r="F695">
        <v>1</v>
      </c>
      <c r="G695">
        <v>0.08</v>
      </c>
      <c r="H695">
        <v>0.4</v>
      </c>
      <c r="I695" t="s">
        <v>12</v>
      </c>
      <c r="J695" t="s">
        <v>37</v>
      </c>
      <c r="K695">
        <f t="shared" si="10"/>
        <v>611.24</v>
      </c>
    </row>
    <row r="696" spans="1:11">
      <c r="A696">
        <v>695</v>
      </c>
      <c r="B696" s="1">
        <v>45398</v>
      </c>
      <c r="C696" t="s">
        <v>20</v>
      </c>
      <c r="D696" t="s">
        <v>15</v>
      </c>
      <c r="E696">
        <v>125.98</v>
      </c>
      <c r="F696">
        <v>2</v>
      </c>
      <c r="G696">
        <v>0.13</v>
      </c>
      <c r="H696">
        <v>0.16</v>
      </c>
      <c r="I696" t="s">
        <v>24</v>
      </c>
      <c r="J696" t="s">
        <v>169</v>
      </c>
      <c r="K696">
        <f t="shared" si="10"/>
        <v>251.96</v>
      </c>
    </row>
    <row r="697" spans="1:11">
      <c r="A697">
        <v>696</v>
      </c>
      <c r="B697" s="1">
        <v>45328</v>
      </c>
      <c r="C697" t="s">
        <v>20</v>
      </c>
      <c r="D697" t="s">
        <v>15</v>
      </c>
      <c r="E697">
        <v>819.04</v>
      </c>
      <c r="F697">
        <v>1</v>
      </c>
      <c r="G697">
        <v>0.26</v>
      </c>
      <c r="H697">
        <v>0.37</v>
      </c>
      <c r="I697" t="s">
        <v>21</v>
      </c>
      <c r="J697" t="s">
        <v>213</v>
      </c>
      <c r="K697">
        <f t="shared" si="10"/>
        <v>819.04</v>
      </c>
    </row>
    <row r="698" spans="1:11">
      <c r="A698">
        <v>697</v>
      </c>
      <c r="B698" s="1">
        <v>45654</v>
      </c>
      <c r="C698" t="s">
        <v>23</v>
      </c>
      <c r="D698" t="s">
        <v>15</v>
      </c>
      <c r="E698">
        <v>1008.03</v>
      </c>
      <c r="F698">
        <v>3</v>
      </c>
      <c r="G698">
        <v>0.14000000000000001</v>
      </c>
      <c r="H698">
        <v>0.28999999999999998</v>
      </c>
      <c r="I698" t="s">
        <v>16</v>
      </c>
      <c r="J698" t="s">
        <v>211</v>
      </c>
      <c r="K698">
        <f t="shared" si="10"/>
        <v>3024.09</v>
      </c>
    </row>
    <row r="699" spans="1:11">
      <c r="A699">
        <v>698</v>
      </c>
      <c r="B699" s="1">
        <v>45398</v>
      </c>
      <c r="C699" t="s">
        <v>31</v>
      </c>
      <c r="D699" t="s">
        <v>11</v>
      </c>
      <c r="E699">
        <v>965.98</v>
      </c>
      <c r="F699">
        <v>2</v>
      </c>
      <c r="G699">
        <v>0.15</v>
      </c>
      <c r="H699">
        <v>0.26</v>
      </c>
      <c r="I699" t="s">
        <v>24</v>
      </c>
      <c r="J699" t="s">
        <v>34</v>
      </c>
      <c r="K699">
        <f t="shared" si="10"/>
        <v>1931.96</v>
      </c>
    </row>
    <row r="700" spans="1:11">
      <c r="A700">
        <v>699</v>
      </c>
      <c r="B700" s="1">
        <v>45430</v>
      </c>
      <c r="C700" t="s">
        <v>20</v>
      </c>
      <c r="D700" t="s">
        <v>15</v>
      </c>
      <c r="E700">
        <v>1406.01</v>
      </c>
      <c r="F700">
        <v>4</v>
      </c>
      <c r="G700">
        <v>0.13</v>
      </c>
      <c r="H700">
        <v>0.25</v>
      </c>
      <c r="I700" t="s">
        <v>21</v>
      </c>
      <c r="J700" t="s">
        <v>277</v>
      </c>
      <c r="K700">
        <f t="shared" si="10"/>
        <v>5624.04</v>
      </c>
    </row>
    <row r="701" spans="1:11">
      <c r="A701">
        <v>700</v>
      </c>
      <c r="B701" s="1">
        <v>45352</v>
      </c>
      <c r="C701" t="s">
        <v>20</v>
      </c>
      <c r="D701" t="s">
        <v>15</v>
      </c>
      <c r="E701">
        <v>908.3</v>
      </c>
      <c r="F701">
        <v>5</v>
      </c>
      <c r="G701">
        <v>0.09</v>
      </c>
      <c r="H701">
        <v>0.25</v>
      </c>
      <c r="I701" t="s">
        <v>21</v>
      </c>
      <c r="J701" t="s">
        <v>215</v>
      </c>
      <c r="K701">
        <f t="shared" si="10"/>
        <v>4541.5</v>
      </c>
    </row>
    <row r="702" spans="1:11">
      <c r="A702">
        <v>701</v>
      </c>
      <c r="B702" s="1">
        <v>45294</v>
      </c>
      <c r="C702" t="s">
        <v>23</v>
      </c>
      <c r="D702" t="s">
        <v>15</v>
      </c>
      <c r="E702">
        <v>717.55</v>
      </c>
      <c r="F702">
        <v>4</v>
      </c>
      <c r="G702">
        <v>0.06</v>
      </c>
      <c r="H702">
        <v>0.18</v>
      </c>
      <c r="I702" t="s">
        <v>21</v>
      </c>
      <c r="J702" t="s">
        <v>300</v>
      </c>
      <c r="K702">
        <f t="shared" si="10"/>
        <v>2870.2</v>
      </c>
    </row>
    <row r="703" spans="1:11">
      <c r="A703">
        <v>702</v>
      </c>
      <c r="B703" s="1">
        <v>45632</v>
      </c>
      <c r="C703" t="s">
        <v>31</v>
      </c>
      <c r="D703" t="s">
        <v>11</v>
      </c>
      <c r="E703">
        <v>629.26</v>
      </c>
      <c r="F703">
        <v>2</v>
      </c>
      <c r="G703">
        <v>0.12</v>
      </c>
      <c r="H703">
        <v>0.38</v>
      </c>
      <c r="I703" t="s">
        <v>24</v>
      </c>
      <c r="J703" t="s">
        <v>90</v>
      </c>
      <c r="K703">
        <f t="shared" si="10"/>
        <v>1258.52</v>
      </c>
    </row>
    <row r="704" spans="1:11">
      <c r="A704">
        <v>703</v>
      </c>
      <c r="B704" s="1">
        <v>45533</v>
      </c>
      <c r="C704" t="s">
        <v>10</v>
      </c>
      <c r="D704" t="s">
        <v>11</v>
      </c>
      <c r="E704">
        <v>261.68</v>
      </c>
      <c r="F704">
        <v>5</v>
      </c>
      <c r="G704">
        <v>0.24</v>
      </c>
      <c r="H704">
        <v>0.38</v>
      </c>
      <c r="I704" t="s">
        <v>24</v>
      </c>
      <c r="J704" t="s">
        <v>301</v>
      </c>
      <c r="K704">
        <f t="shared" si="10"/>
        <v>1308.4000000000001</v>
      </c>
    </row>
    <row r="705" spans="1:11">
      <c r="A705">
        <v>704</v>
      </c>
      <c r="B705" s="1">
        <v>45360</v>
      </c>
      <c r="C705" t="s">
        <v>26</v>
      </c>
      <c r="D705" t="s">
        <v>11</v>
      </c>
      <c r="E705">
        <v>1325.49</v>
      </c>
      <c r="F705">
        <v>5</v>
      </c>
      <c r="G705">
        <v>0.25</v>
      </c>
      <c r="H705">
        <v>0.23</v>
      </c>
      <c r="I705" t="s">
        <v>24</v>
      </c>
      <c r="J705" t="s">
        <v>187</v>
      </c>
      <c r="K705">
        <f t="shared" si="10"/>
        <v>6627.45</v>
      </c>
    </row>
    <row r="706" spans="1:11">
      <c r="A706">
        <v>705</v>
      </c>
      <c r="B706" s="1">
        <v>45314</v>
      </c>
      <c r="C706" t="s">
        <v>31</v>
      </c>
      <c r="D706" t="s">
        <v>11</v>
      </c>
      <c r="E706">
        <v>36.75</v>
      </c>
      <c r="F706">
        <v>4</v>
      </c>
      <c r="G706">
        <v>7.0000000000000007E-2</v>
      </c>
      <c r="H706">
        <v>0.25</v>
      </c>
      <c r="I706" t="s">
        <v>16</v>
      </c>
      <c r="J706" t="s">
        <v>236</v>
      </c>
      <c r="K706">
        <f t="shared" si="10"/>
        <v>147</v>
      </c>
    </row>
    <row r="707" spans="1:11">
      <c r="A707">
        <v>706</v>
      </c>
      <c r="B707" s="1">
        <v>45444</v>
      </c>
      <c r="C707" t="s">
        <v>23</v>
      </c>
      <c r="D707" t="s">
        <v>15</v>
      </c>
      <c r="E707">
        <v>400.95</v>
      </c>
      <c r="F707">
        <v>5</v>
      </c>
      <c r="G707">
        <v>0.11</v>
      </c>
      <c r="H707">
        <v>0.35</v>
      </c>
      <c r="I707" t="s">
        <v>16</v>
      </c>
      <c r="J707" t="s">
        <v>298</v>
      </c>
      <c r="K707">
        <f t="shared" si="10"/>
        <v>2004.75</v>
      </c>
    </row>
    <row r="708" spans="1:11">
      <c r="A708">
        <v>707</v>
      </c>
      <c r="B708" s="1">
        <v>45653</v>
      </c>
      <c r="C708" t="s">
        <v>10</v>
      </c>
      <c r="D708" t="s">
        <v>11</v>
      </c>
      <c r="E708">
        <v>1246.47</v>
      </c>
      <c r="F708">
        <v>5</v>
      </c>
      <c r="G708">
        <v>0.1</v>
      </c>
      <c r="H708">
        <v>0.21</v>
      </c>
      <c r="I708" t="s">
        <v>16</v>
      </c>
      <c r="J708" t="s">
        <v>54</v>
      </c>
      <c r="K708">
        <f t="shared" ref="K708:K771" si="11">E708*F708</f>
        <v>6232.35</v>
      </c>
    </row>
    <row r="709" spans="1:11">
      <c r="A709">
        <v>708</v>
      </c>
      <c r="B709" s="1">
        <v>45297</v>
      </c>
      <c r="C709" t="s">
        <v>23</v>
      </c>
      <c r="D709" t="s">
        <v>15</v>
      </c>
      <c r="E709">
        <v>425.46</v>
      </c>
      <c r="F709">
        <v>1</v>
      </c>
      <c r="G709">
        <v>0.1</v>
      </c>
      <c r="H709">
        <v>0.37</v>
      </c>
      <c r="I709" t="s">
        <v>24</v>
      </c>
      <c r="J709" t="s">
        <v>154</v>
      </c>
      <c r="K709">
        <f t="shared" si="11"/>
        <v>425.46</v>
      </c>
    </row>
    <row r="710" spans="1:11">
      <c r="A710">
        <v>709</v>
      </c>
      <c r="B710" s="1">
        <v>45552</v>
      </c>
      <c r="C710" t="s">
        <v>20</v>
      </c>
      <c r="D710" t="s">
        <v>15</v>
      </c>
      <c r="E710">
        <v>841.22</v>
      </c>
      <c r="F710">
        <v>3</v>
      </c>
      <c r="G710">
        <v>0.1</v>
      </c>
      <c r="H710">
        <v>0.26</v>
      </c>
      <c r="I710" t="s">
        <v>16</v>
      </c>
      <c r="J710" t="s">
        <v>127</v>
      </c>
      <c r="K710">
        <f t="shared" si="11"/>
        <v>2523.66</v>
      </c>
    </row>
    <row r="711" spans="1:11">
      <c r="A711">
        <v>710</v>
      </c>
      <c r="B711" s="1">
        <v>45604</v>
      </c>
      <c r="C711" t="s">
        <v>20</v>
      </c>
      <c r="D711" t="s">
        <v>15</v>
      </c>
      <c r="E711">
        <v>1023.49</v>
      </c>
      <c r="F711">
        <v>1</v>
      </c>
      <c r="G711">
        <v>0.1</v>
      </c>
      <c r="H711">
        <v>0.24</v>
      </c>
      <c r="I711" t="s">
        <v>24</v>
      </c>
      <c r="J711" t="s">
        <v>255</v>
      </c>
      <c r="K711">
        <f t="shared" si="11"/>
        <v>1023.49</v>
      </c>
    </row>
    <row r="712" spans="1:11">
      <c r="A712">
        <v>711</v>
      </c>
      <c r="B712" s="1">
        <v>45432</v>
      </c>
      <c r="C712" t="s">
        <v>14</v>
      </c>
      <c r="D712" t="s">
        <v>15</v>
      </c>
      <c r="E712">
        <v>44.55</v>
      </c>
      <c r="F712">
        <v>1</v>
      </c>
      <c r="G712">
        <v>0.05</v>
      </c>
      <c r="H712">
        <v>0.3</v>
      </c>
      <c r="I712" t="s">
        <v>21</v>
      </c>
      <c r="J712" t="s">
        <v>27</v>
      </c>
      <c r="K712">
        <f t="shared" si="11"/>
        <v>44.55</v>
      </c>
    </row>
    <row r="713" spans="1:11">
      <c r="A713">
        <v>712</v>
      </c>
      <c r="B713" s="1">
        <v>45538</v>
      </c>
      <c r="C713" t="s">
        <v>23</v>
      </c>
      <c r="D713" t="s">
        <v>15</v>
      </c>
      <c r="E713">
        <v>1089.8499999999999</v>
      </c>
      <c r="F713">
        <v>4</v>
      </c>
      <c r="G713">
        <v>7.0000000000000007E-2</v>
      </c>
      <c r="H713">
        <v>0.14000000000000001</v>
      </c>
      <c r="I713" t="s">
        <v>16</v>
      </c>
      <c r="J713" t="s">
        <v>278</v>
      </c>
      <c r="K713">
        <f t="shared" si="11"/>
        <v>4359.3999999999996</v>
      </c>
    </row>
    <row r="714" spans="1:11">
      <c r="A714">
        <v>713</v>
      </c>
      <c r="B714" s="1">
        <v>45385</v>
      </c>
      <c r="C714" t="s">
        <v>14</v>
      </c>
      <c r="D714" t="s">
        <v>15</v>
      </c>
      <c r="E714">
        <v>27.94</v>
      </c>
      <c r="F714">
        <v>2</v>
      </c>
      <c r="G714">
        <v>0.16</v>
      </c>
      <c r="H714">
        <v>0.34</v>
      </c>
      <c r="I714" t="s">
        <v>24</v>
      </c>
      <c r="J714" t="s">
        <v>127</v>
      </c>
      <c r="K714">
        <f t="shared" si="11"/>
        <v>55.88</v>
      </c>
    </row>
    <row r="715" spans="1:11">
      <c r="A715">
        <v>714</v>
      </c>
      <c r="B715" s="1">
        <v>45413</v>
      </c>
      <c r="C715" t="s">
        <v>20</v>
      </c>
      <c r="D715" t="s">
        <v>15</v>
      </c>
      <c r="E715">
        <v>263.01</v>
      </c>
      <c r="F715">
        <v>1</v>
      </c>
      <c r="G715">
        <v>0.1</v>
      </c>
      <c r="H715">
        <v>0.22</v>
      </c>
      <c r="I715" t="s">
        <v>12</v>
      </c>
      <c r="J715" t="s">
        <v>164</v>
      </c>
      <c r="K715">
        <f t="shared" si="11"/>
        <v>263.01</v>
      </c>
    </row>
    <row r="716" spans="1:11">
      <c r="A716">
        <v>715</v>
      </c>
      <c r="B716" s="1">
        <v>45525</v>
      </c>
      <c r="C716" t="s">
        <v>26</v>
      </c>
      <c r="D716" t="s">
        <v>11</v>
      </c>
      <c r="E716">
        <v>547.54999999999995</v>
      </c>
      <c r="F716">
        <v>4</v>
      </c>
      <c r="G716">
        <v>0.17</v>
      </c>
      <c r="H716">
        <v>0.14000000000000001</v>
      </c>
      <c r="I716" t="s">
        <v>21</v>
      </c>
      <c r="J716" t="s">
        <v>237</v>
      </c>
      <c r="K716">
        <f t="shared" si="11"/>
        <v>2190.1999999999998</v>
      </c>
    </row>
    <row r="717" spans="1:11">
      <c r="A717">
        <v>716</v>
      </c>
      <c r="B717" s="1">
        <v>45443</v>
      </c>
      <c r="C717" t="s">
        <v>23</v>
      </c>
      <c r="D717" t="s">
        <v>15</v>
      </c>
      <c r="E717">
        <v>921.44</v>
      </c>
      <c r="F717">
        <v>3</v>
      </c>
      <c r="G717">
        <v>0.1</v>
      </c>
      <c r="H717">
        <v>0.32</v>
      </c>
      <c r="I717" t="s">
        <v>21</v>
      </c>
      <c r="J717" t="s">
        <v>170</v>
      </c>
      <c r="K717">
        <f t="shared" si="11"/>
        <v>2764.32</v>
      </c>
    </row>
    <row r="718" spans="1:11">
      <c r="A718">
        <v>717</v>
      </c>
      <c r="B718" s="1">
        <v>45310</v>
      </c>
      <c r="C718" t="s">
        <v>14</v>
      </c>
      <c r="D718" t="s">
        <v>15</v>
      </c>
      <c r="E718">
        <v>934.04</v>
      </c>
      <c r="F718">
        <v>5</v>
      </c>
      <c r="G718">
        <v>0.12</v>
      </c>
      <c r="H718">
        <v>0.33</v>
      </c>
      <c r="I718" t="s">
        <v>12</v>
      </c>
      <c r="J718" t="s">
        <v>162</v>
      </c>
      <c r="K718">
        <f t="shared" si="11"/>
        <v>4670.2</v>
      </c>
    </row>
    <row r="719" spans="1:11">
      <c r="A719">
        <v>718</v>
      </c>
      <c r="B719" s="1">
        <v>45432</v>
      </c>
      <c r="C719" t="s">
        <v>20</v>
      </c>
      <c r="D719" t="s">
        <v>15</v>
      </c>
      <c r="E719">
        <v>1026.49</v>
      </c>
      <c r="F719">
        <v>2</v>
      </c>
      <c r="G719">
        <v>0.05</v>
      </c>
      <c r="H719">
        <v>0.25</v>
      </c>
      <c r="I719" t="s">
        <v>16</v>
      </c>
      <c r="J719" t="s">
        <v>189</v>
      </c>
      <c r="K719">
        <f t="shared" si="11"/>
        <v>2052.98</v>
      </c>
    </row>
    <row r="720" spans="1:11">
      <c r="A720">
        <v>719</v>
      </c>
      <c r="B720" s="1">
        <v>45339</v>
      </c>
      <c r="C720" t="s">
        <v>26</v>
      </c>
      <c r="D720" t="s">
        <v>11</v>
      </c>
      <c r="E720">
        <v>1309.03</v>
      </c>
      <c r="F720">
        <v>2</v>
      </c>
      <c r="G720">
        <v>0.01</v>
      </c>
      <c r="H720">
        <v>0.38</v>
      </c>
      <c r="I720" t="s">
        <v>24</v>
      </c>
      <c r="J720" t="s">
        <v>249</v>
      </c>
      <c r="K720">
        <f t="shared" si="11"/>
        <v>2618.06</v>
      </c>
    </row>
    <row r="721" spans="1:11">
      <c r="A721">
        <v>720</v>
      </c>
      <c r="B721" s="1">
        <v>45573</v>
      </c>
      <c r="C721" t="s">
        <v>26</v>
      </c>
      <c r="D721" t="s">
        <v>11</v>
      </c>
      <c r="E721">
        <v>918.32</v>
      </c>
      <c r="F721">
        <v>5</v>
      </c>
      <c r="G721">
        <v>0.1</v>
      </c>
      <c r="H721">
        <v>0.14000000000000001</v>
      </c>
      <c r="I721" t="s">
        <v>21</v>
      </c>
      <c r="J721" t="s">
        <v>184</v>
      </c>
      <c r="K721">
        <f t="shared" si="11"/>
        <v>4591.6000000000004</v>
      </c>
    </row>
    <row r="722" spans="1:11">
      <c r="A722">
        <v>721</v>
      </c>
      <c r="B722" s="1">
        <v>45298</v>
      </c>
      <c r="C722" t="s">
        <v>23</v>
      </c>
      <c r="D722" t="s">
        <v>15</v>
      </c>
      <c r="E722">
        <v>780.62</v>
      </c>
      <c r="F722">
        <v>5</v>
      </c>
      <c r="G722">
        <v>0.12</v>
      </c>
      <c r="H722">
        <v>0.37</v>
      </c>
      <c r="I722" t="s">
        <v>12</v>
      </c>
      <c r="J722" t="s">
        <v>302</v>
      </c>
      <c r="K722">
        <f t="shared" si="11"/>
        <v>3903.1</v>
      </c>
    </row>
    <row r="723" spans="1:11">
      <c r="A723">
        <v>722</v>
      </c>
      <c r="B723" s="1">
        <v>45462</v>
      </c>
      <c r="C723" t="s">
        <v>20</v>
      </c>
      <c r="D723" t="s">
        <v>15</v>
      </c>
      <c r="E723">
        <v>1165.1600000000001</v>
      </c>
      <c r="F723">
        <v>5</v>
      </c>
      <c r="G723">
        <v>0.23</v>
      </c>
      <c r="H723">
        <v>0.28000000000000003</v>
      </c>
      <c r="I723" t="s">
        <v>21</v>
      </c>
      <c r="J723" t="s">
        <v>47</v>
      </c>
      <c r="K723">
        <f t="shared" si="11"/>
        <v>5825.8</v>
      </c>
    </row>
    <row r="724" spans="1:11">
      <c r="A724">
        <v>723</v>
      </c>
      <c r="B724" s="1">
        <v>45573</v>
      </c>
      <c r="C724" t="s">
        <v>10</v>
      </c>
      <c r="D724" t="s">
        <v>11</v>
      </c>
      <c r="E724">
        <v>126.84</v>
      </c>
      <c r="F724">
        <v>5</v>
      </c>
      <c r="G724">
        <v>0.12</v>
      </c>
      <c r="H724">
        <v>0.37</v>
      </c>
      <c r="I724" t="s">
        <v>21</v>
      </c>
      <c r="J724" t="s">
        <v>44</v>
      </c>
      <c r="K724">
        <f t="shared" si="11"/>
        <v>634.20000000000005</v>
      </c>
    </row>
    <row r="725" spans="1:11">
      <c r="A725">
        <v>724</v>
      </c>
      <c r="B725" s="1">
        <v>45603</v>
      </c>
      <c r="C725" t="s">
        <v>23</v>
      </c>
      <c r="D725" t="s">
        <v>15</v>
      </c>
      <c r="E725">
        <v>398.58</v>
      </c>
      <c r="F725">
        <v>1</v>
      </c>
      <c r="G725">
        <v>0.22</v>
      </c>
      <c r="H725">
        <v>0.31</v>
      </c>
      <c r="I725" t="s">
        <v>24</v>
      </c>
      <c r="J725" t="s">
        <v>170</v>
      </c>
      <c r="K725">
        <f t="shared" si="11"/>
        <v>398.58</v>
      </c>
    </row>
    <row r="726" spans="1:11">
      <c r="A726">
        <v>725</v>
      </c>
      <c r="B726" s="1">
        <v>45655</v>
      </c>
      <c r="C726" t="s">
        <v>31</v>
      </c>
      <c r="D726" t="s">
        <v>11</v>
      </c>
      <c r="E726">
        <v>1258.27</v>
      </c>
      <c r="F726">
        <v>1</v>
      </c>
      <c r="G726">
        <v>0.26</v>
      </c>
      <c r="H726">
        <v>0.16</v>
      </c>
      <c r="I726" t="s">
        <v>12</v>
      </c>
      <c r="J726" t="s">
        <v>18</v>
      </c>
      <c r="K726">
        <f t="shared" si="11"/>
        <v>1258.27</v>
      </c>
    </row>
    <row r="727" spans="1:11">
      <c r="A727">
        <v>726</v>
      </c>
      <c r="B727" s="1">
        <v>45438</v>
      </c>
      <c r="C727" t="s">
        <v>26</v>
      </c>
      <c r="D727" t="s">
        <v>11</v>
      </c>
      <c r="E727">
        <v>517.1</v>
      </c>
      <c r="F727">
        <v>1</v>
      </c>
      <c r="G727">
        <v>0.16</v>
      </c>
      <c r="H727">
        <v>0.25</v>
      </c>
      <c r="I727" t="s">
        <v>12</v>
      </c>
      <c r="J727" t="s">
        <v>123</v>
      </c>
      <c r="K727">
        <f t="shared" si="11"/>
        <v>517.1</v>
      </c>
    </row>
    <row r="728" spans="1:11">
      <c r="A728">
        <v>727</v>
      </c>
      <c r="B728" s="1">
        <v>45321</v>
      </c>
      <c r="C728" t="s">
        <v>14</v>
      </c>
      <c r="D728" t="s">
        <v>15</v>
      </c>
      <c r="E728">
        <v>1286.0899999999999</v>
      </c>
      <c r="F728">
        <v>5</v>
      </c>
      <c r="G728">
        <v>0.15</v>
      </c>
      <c r="H728">
        <v>0.1</v>
      </c>
      <c r="I728" t="s">
        <v>21</v>
      </c>
      <c r="J728" t="s">
        <v>303</v>
      </c>
      <c r="K728">
        <f t="shared" si="11"/>
        <v>6430.45</v>
      </c>
    </row>
    <row r="729" spans="1:11">
      <c r="A729">
        <v>728</v>
      </c>
      <c r="B729" s="1">
        <v>45515</v>
      </c>
      <c r="C729" t="s">
        <v>23</v>
      </c>
      <c r="D729" t="s">
        <v>15</v>
      </c>
      <c r="E729">
        <v>980.47</v>
      </c>
      <c r="F729">
        <v>2</v>
      </c>
      <c r="G729">
        <v>0.27</v>
      </c>
      <c r="H729">
        <v>0.16</v>
      </c>
      <c r="I729" t="s">
        <v>21</v>
      </c>
      <c r="J729" t="s">
        <v>96</v>
      </c>
      <c r="K729">
        <f t="shared" si="11"/>
        <v>1960.94</v>
      </c>
    </row>
    <row r="730" spans="1:11">
      <c r="A730">
        <v>729</v>
      </c>
      <c r="B730" s="1">
        <v>45626</v>
      </c>
      <c r="C730" t="s">
        <v>26</v>
      </c>
      <c r="D730" t="s">
        <v>11</v>
      </c>
      <c r="E730">
        <v>86.93</v>
      </c>
      <c r="F730">
        <v>4</v>
      </c>
      <c r="G730">
        <v>0.05</v>
      </c>
      <c r="H730">
        <v>0.32</v>
      </c>
      <c r="I730" t="s">
        <v>24</v>
      </c>
      <c r="J730" t="s">
        <v>223</v>
      </c>
      <c r="K730">
        <f t="shared" si="11"/>
        <v>347.72</v>
      </c>
    </row>
    <row r="731" spans="1:11">
      <c r="A731">
        <v>730</v>
      </c>
      <c r="B731" s="1">
        <v>45624</v>
      </c>
      <c r="C731" t="s">
        <v>10</v>
      </c>
      <c r="D731" t="s">
        <v>11</v>
      </c>
      <c r="E731">
        <v>123.18</v>
      </c>
      <c r="F731">
        <v>1</v>
      </c>
      <c r="G731">
        <v>0.28999999999999998</v>
      </c>
      <c r="H731">
        <v>0.24</v>
      </c>
      <c r="I731" t="s">
        <v>21</v>
      </c>
      <c r="J731" t="s">
        <v>266</v>
      </c>
      <c r="K731">
        <f t="shared" si="11"/>
        <v>123.18</v>
      </c>
    </row>
    <row r="732" spans="1:11">
      <c r="A732">
        <v>731</v>
      </c>
      <c r="B732" s="1">
        <v>45512</v>
      </c>
      <c r="C732" t="s">
        <v>31</v>
      </c>
      <c r="D732" t="s">
        <v>11</v>
      </c>
      <c r="E732">
        <v>1210.6300000000001</v>
      </c>
      <c r="F732">
        <v>4</v>
      </c>
      <c r="G732">
        <v>0.3</v>
      </c>
      <c r="H732">
        <v>0.27</v>
      </c>
      <c r="I732" t="s">
        <v>12</v>
      </c>
      <c r="J732" t="s">
        <v>132</v>
      </c>
      <c r="K732">
        <f t="shared" si="11"/>
        <v>4842.5200000000004</v>
      </c>
    </row>
    <row r="733" spans="1:11">
      <c r="A733">
        <v>732</v>
      </c>
      <c r="B733" s="1">
        <v>45350</v>
      </c>
      <c r="C733" t="s">
        <v>23</v>
      </c>
      <c r="D733" t="s">
        <v>15</v>
      </c>
      <c r="E733">
        <v>683.42</v>
      </c>
      <c r="F733">
        <v>3</v>
      </c>
      <c r="G733">
        <v>0.11</v>
      </c>
      <c r="H733">
        <v>0.21</v>
      </c>
      <c r="I733" t="s">
        <v>24</v>
      </c>
      <c r="J733" t="s">
        <v>266</v>
      </c>
      <c r="K733">
        <f t="shared" si="11"/>
        <v>2050.2599999999998</v>
      </c>
    </row>
    <row r="734" spans="1:11">
      <c r="A734">
        <v>733</v>
      </c>
      <c r="B734" s="1">
        <v>45413</v>
      </c>
      <c r="C734" t="s">
        <v>26</v>
      </c>
      <c r="D734" t="s">
        <v>11</v>
      </c>
      <c r="E734">
        <v>1067.29</v>
      </c>
      <c r="F734">
        <v>4</v>
      </c>
      <c r="G734">
        <v>0.14000000000000001</v>
      </c>
      <c r="H734">
        <v>0.32</v>
      </c>
      <c r="I734" t="s">
        <v>16</v>
      </c>
      <c r="J734" t="s">
        <v>127</v>
      </c>
      <c r="K734">
        <f t="shared" si="11"/>
        <v>4269.16</v>
      </c>
    </row>
    <row r="735" spans="1:11">
      <c r="A735">
        <v>734</v>
      </c>
      <c r="B735" s="1">
        <v>45547</v>
      </c>
      <c r="C735" t="s">
        <v>14</v>
      </c>
      <c r="D735" t="s">
        <v>15</v>
      </c>
      <c r="E735">
        <v>541.16999999999996</v>
      </c>
      <c r="F735">
        <v>3</v>
      </c>
      <c r="G735">
        <v>0.11</v>
      </c>
      <c r="H735">
        <v>0.35</v>
      </c>
      <c r="I735" t="s">
        <v>12</v>
      </c>
      <c r="J735" t="s">
        <v>297</v>
      </c>
      <c r="K735">
        <f t="shared" si="11"/>
        <v>1623.5099999999998</v>
      </c>
    </row>
    <row r="736" spans="1:11">
      <c r="A736">
        <v>735</v>
      </c>
      <c r="B736" s="1">
        <v>45498</v>
      </c>
      <c r="C736" t="s">
        <v>23</v>
      </c>
      <c r="D736" t="s">
        <v>15</v>
      </c>
      <c r="E736">
        <v>738.88</v>
      </c>
      <c r="F736">
        <v>4</v>
      </c>
      <c r="G736">
        <v>0.19</v>
      </c>
      <c r="H736">
        <v>0.13</v>
      </c>
      <c r="I736" t="s">
        <v>21</v>
      </c>
      <c r="J736" t="s">
        <v>160</v>
      </c>
      <c r="K736">
        <f t="shared" si="11"/>
        <v>2955.52</v>
      </c>
    </row>
    <row r="737" spans="1:11">
      <c r="A737">
        <v>736</v>
      </c>
      <c r="B737" s="1">
        <v>45648</v>
      </c>
      <c r="C737" t="s">
        <v>31</v>
      </c>
      <c r="D737" t="s">
        <v>11</v>
      </c>
      <c r="E737">
        <v>96.77</v>
      </c>
      <c r="F737">
        <v>4</v>
      </c>
      <c r="G737">
        <v>0.23</v>
      </c>
      <c r="H737">
        <v>0.28000000000000003</v>
      </c>
      <c r="I737" t="s">
        <v>21</v>
      </c>
      <c r="J737" t="s">
        <v>252</v>
      </c>
      <c r="K737">
        <f t="shared" si="11"/>
        <v>387.08</v>
      </c>
    </row>
    <row r="738" spans="1:11">
      <c r="A738">
        <v>737</v>
      </c>
      <c r="B738" s="1">
        <v>45502</v>
      </c>
      <c r="C738" t="s">
        <v>26</v>
      </c>
      <c r="D738" t="s">
        <v>11</v>
      </c>
      <c r="E738">
        <v>793.58</v>
      </c>
      <c r="F738">
        <v>2</v>
      </c>
      <c r="G738">
        <v>0.23</v>
      </c>
      <c r="H738">
        <v>0.1</v>
      </c>
      <c r="I738" t="s">
        <v>16</v>
      </c>
      <c r="J738" t="s">
        <v>290</v>
      </c>
      <c r="K738">
        <f t="shared" si="11"/>
        <v>1587.16</v>
      </c>
    </row>
    <row r="739" spans="1:11">
      <c r="A739">
        <v>738</v>
      </c>
      <c r="B739" s="1">
        <v>45511</v>
      </c>
      <c r="C739" t="s">
        <v>10</v>
      </c>
      <c r="D739" t="s">
        <v>11</v>
      </c>
      <c r="E739">
        <v>940.2</v>
      </c>
      <c r="F739">
        <v>5</v>
      </c>
      <c r="G739">
        <v>0.12</v>
      </c>
      <c r="H739">
        <v>0.3</v>
      </c>
      <c r="I739" t="s">
        <v>12</v>
      </c>
      <c r="J739" t="s">
        <v>293</v>
      </c>
      <c r="K739">
        <f t="shared" si="11"/>
        <v>4701</v>
      </c>
    </row>
    <row r="740" spans="1:11">
      <c r="A740">
        <v>739</v>
      </c>
      <c r="B740" s="1">
        <v>45568</v>
      </c>
      <c r="C740" t="s">
        <v>23</v>
      </c>
      <c r="D740" t="s">
        <v>15</v>
      </c>
      <c r="E740">
        <v>601.36</v>
      </c>
      <c r="F740">
        <v>2</v>
      </c>
      <c r="G740">
        <v>0.27</v>
      </c>
      <c r="H740">
        <v>0.33</v>
      </c>
      <c r="I740" t="s">
        <v>12</v>
      </c>
      <c r="J740" t="s">
        <v>83</v>
      </c>
      <c r="K740">
        <f t="shared" si="11"/>
        <v>1202.72</v>
      </c>
    </row>
    <row r="741" spans="1:11">
      <c r="A741">
        <v>740</v>
      </c>
      <c r="B741" s="1">
        <v>45353</v>
      </c>
      <c r="C741" t="s">
        <v>20</v>
      </c>
      <c r="D741" t="s">
        <v>15</v>
      </c>
      <c r="E741">
        <v>989.85</v>
      </c>
      <c r="F741">
        <v>4</v>
      </c>
      <c r="G741">
        <v>0.26</v>
      </c>
      <c r="H741">
        <v>0.26</v>
      </c>
      <c r="I741" t="s">
        <v>24</v>
      </c>
      <c r="J741" t="s">
        <v>152</v>
      </c>
      <c r="K741">
        <f t="shared" si="11"/>
        <v>3959.4</v>
      </c>
    </row>
    <row r="742" spans="1:11">
      <c r="A742">
        <v>741</v>
      </c>
      <c r="B742" s="1">
        <v>45307</v>
      </c>
      <c r="C742" t="s">
        <v>23</v>
      </c>
      <c r="D742" t="s">
        <v>15</v>
      </c>
      <c r="E742">
        <v>255.8</v>
      </c>
      <c r="F742">
        <v>2</v>
      </c>
      <c r="G742">
        <v>0.12</v>
      </c>
      <c r="H742">
        <v>0.31</v>
      </c>
      <c r="I742" t="s">
        <v>21</v>
      </c>
      <c r="J742" t="s">
        <v>171</v>
      </c>
      <c r="K742">
        <f t="shared" si="11"/>
        <v>511.6</v>
      </c>
    </row>
    <row r="743" spans="1:11">
      <c r="A743">
        <v>742</v>
      </c>
      <c r="B743" s="1">
        <v>45385</v>
      </c>
      <c r="C743" t="s">
        <v>26</v>
      </c>
      <c r="D743" t="s">
        <v>11</v>
      </c>
      <c r="E743">
        <v>323.32</v>
      </c>
      <c r="F743">
        <v>3</v>
      </c>
      <c r="G743">
        <v>0.06</v>
      </c>
      <c r="H743">
        <v>0.28000000000000003</v>
      </c>
      <c r="I743" t="s">
        <v>24</v>
      </c>
      <c r="J743" t="s">
        <v>304</v>
      </c>
      <c r="K743">
        <f t="shared" si="11"/>
        <v>969.96</v>
      </c>
    </row>
    <row r="744" spans="1:11">
      <c r="A744">
        <v>743</v>
      </c>
      <c r="B744" s="1">
        <v>45372</v>
      </c>
      <c r="C744" t="s">
        <v>20</v>
      </c>
      <c r="D744" t="s">
        <v>15</v>
      </c>
      <c r="E744">
        <v>1306.24</v>
      </c>
      <c r="F744">
        <v>2</v>
      </c>
      <c r="G744">
        <v>0.15</v>
      </c>
      <c r="H744">
        <v>0.16</v>
      </c>
      <c r="I744" t="s">
        <v>24</v>
      </c>
      <c r="J744" t="s">
        <v>183</v>
      </c>
      <c r="K744">
        <f t="shared" si="11"/>
        <v>2612.48</v>
      </c>
    </row>
    <row r="745" spans="1:11">
      <c r="A745">
        <v>744</v>
      </c>
      <c r="B745" s="1">
        <v>45437</v>
      </c>
      <c r="C745" t="s">
        <v>23</v>
      </c>
      <c r="D745" t="s">
        <v>15</v>
      </c>
      <c r="E745">
        <v>887.39</v>
      </c>
      <c r="F745">
        <v>2</v>
      </c>
      <c r="G745">
        <v>0.11</v>
      </c>
      <c r="H745">
        <v>0.35</v>
      </c>
      <c r="I745" t="s">
        <v>21</v>
      </c>
      <c r="J745" t="s">
        <v>162</v>
      </c>
      <c r="K745">
        <f t="shared" si="11"/>
        <v>1774.78</v>
      </c>
    </row>
    <row r="746" spans="1:11">
      <c r="A746">
        <v>745</v>
      </c>
      <c r="B746" s="1">
        <v>45530</v>
      </c>
      <c r="C746" t="s">
        <v>26</v>
      </c>
      <c r="D746" t="s">
        <v>11</v>
      </c>
      <c r="E746">
        <v>1438.78</v>
      </c>
      <c r="F746">
        <v>1</v>
      </c>
      <c r="G746">
        <v>0.08</v>
      </c>
      <c r="H746">
        <v>0.31</v>
      </c>
      <c r="I746" t="s">
        <v>21</v>
      </c>
      <c r="J746" t="s">
        <v>84</v>
      </c>
      <c r="K746">
        <f t="shared" si="11"/>
        <v>1438.78</v>
      </c>
    </row>
    <row r="747" spans="1:11">
      <c r="A747">
        <v>746</v>
      </c>
      <c r="B747" s="1">
        <v>45464</v>
      </c>
      <c r="C747" t="s">
        <v>20</v>
      </c>
      <c r="D747" t="s">
        <v>15</v>
      </c>
      <c r="E747">
        <v>964.22</v>
      </c>
      <c r="F747">
        <v>3</v>
      </c>
      <c r="G747">
        <v>0.19</v>
      </c>
      <c r="H747">
        <v>0.2</v>
      </c>
      <c r="I747" t="s">
        <v>24</v>
      </c>
      <c r="J747" t="s">
        <v>133</v>
      </c>
      <c r="K747">
        <f t="shared" si="11"/>
        <v>2892.66</v>
      </c>
    </row>
    <row r="748" spans="1:11">
      <c r="A748">
        <v>747</v>
      </c>
      <c r="B748" s="1">
        <v>45647</v>
      </c>
      <c r="C748" t="s">
        <v>31</v>
      </c>
      <c r="D748" t="s">
        <v>11</v>
      </c>
      <c r="E748">
        <v>1243.23</v>
      </c>
      <c r="F748">
        <v>5</v>
      </c>
      <c r="G748">
        <v>0.21</v>
      </c>
      <c r="H748">
        <v>0.17</v>
      </c>
      <c r="I748" t="s">
        <v>16</v>
      </c>
      <c r="J748" t="s">
        <v>149</v>
      </c>
      <c r="K748">
        <f t="shared" si="11"/>
        <v>6216.15</v>
      </c>
    </row>
    <row r="749" spans="1:11">
      <c r="A749">
        <v>748</v>
      </c>
      <c r="B749" s="1">
        <v>45570</v>
      </c>
      <c r="C749" t="s">
        <v>20</v>
      </c>
      <c r="D749" t="s">
        <v>15</v>
      </c>
      <c r="E749">
        <v>1240.06</v>
      </c>
      <c r="F749">
        <v>2</v>
      </c>
      <c r="G749">
        <v>0.2</v>
      </c>
      <c r="H749">
        <v>0.34</v>
      </c>
      <c r="I749" t="s">
        <v>16</v>
      </c>
      <c r="J749" t="s">
        <v>182</v>
      </c>
      <c r="K749">
        <f t="shared" si="11"/>
        <v>2480.12</v>
      </c>
    </row>
    <row r="750" spans="1:11">
      <c r="A750">
        <v>749</v>
      </c>
      <c r="B750" s="1">
        <v>45452</v>
      </c>
      <c r="C750" t="s">
        <v>20</v>
      </c>
      <c r="D750" t="s">
        <v>15</v>
      </c>
      <c r="E750">
        <v>1475.38</v>
      </c>
      <c r="F750">
        <v>4</v>
      </c>
      <c r="G750">
        <v>0.23</v>
      </c>
      <c r="H750">
        <v>0.32</v>
      </c>
      <c r="I750" t="s">
        <v>21</v>
      </c>
      <c r="J750" t="s">
        <v>272</v>
      </c>
      <c r="K750">
        <f t="shared" si="11"/>
        <v>5901.52</v>
      </c>
    </row>
    <row r="751" spans="1:11">
      <c r="A751">
        <v>750</v>
      </c>
      <c r="B751" s="1">
        <v>45387</v>
      </c>
      <c r="C751" t="s">
        <v>14</v>
      </c>
      <c r="D751" t="s">
        <v>15</v>
      </c>
      <c r="E751">
        <v>662.71</v>
      </c>
      <c r="F751">
        <v>1</v>
      </c>
      <c r="G751">
        <v>0.14000000000000001</v>
      </c>
      <c r="H751">
        <v>0.18</v>
      </c>
      <c r="I751" t="s">
        <v>16</v>
      </c>
      <c r="J751" t="s">
        <v>110</v>
      </c>
      <c r="K751">
        <f t="shared" si="11"/>
        <v>662.71</v>
      </c>
    </row>
    <row r="752" spans="1:11">
      <c r="A752">
        <v>751</v>
      </c>
      <c r="B752" s="1">
        <v>45467</v>
      </c>
      <c r="C752" t="s">
        <v>31</v>
      </c>
      <c r="D752" t="s">
        <v>11</v>
      </c>
      <c r="E752">
        <v>384.01</v>
      </c>
      <c r="F752">
        <v>5</v>
      </c>
      <c r="G752">
        <v>0.19</v>
      </c>
      <c r="H752">
        <v>0.36</v>
      </c>
      <c r="I752" t="s">
        <v>12</v>
      </c>
      <c r="J752" t="s">
        <v>297</v>
      </c>
      <c r="K752">
        <f t="shared" si="11"/>
        <v>1920.05</v>
      </c>
    </row>
    <row r="753" spans="1:11">
      <c r="A753">
        <v>752</v>
      </c>
      <c r="B753" s="1">
        <v>45395</v>
      </c>
      <c r="C753" t="s">
        <v>14</v>
      </c>
      <c r="D753" t="s">
        <v>15</v>
      </c>
      <c r="E753">
        <v>501.47</v>
      </c>
      <c r="F753">
        <v>3</v>
      </c>
      <c r="G753">
        <v>0.15</v>
      </c>
      <c r="H753">
        <v>0.32</v>
      </c>
      <c r="I753" t="s">
        <v>16</v>
      </c>
      <c r="J753" t="s">
        <v>271</v>
      </c>
      <c r="K753">
        <f t="shared" si="11"/>
        <v>1504.41</v>
      </c>
    </row>
    <row r="754" spans="1:11">
      <c r="A754">
        <v>753</v>
      </c>
      <c r="B754" s="1">
        <v>45473</v>
      </c>
      <c r="C754" t="s">
        <v>31</v>
      </c>
      <c r="D754" t="s">
        <v>11</v>
      </c>
      <c r="E754">
        <v>1008.49</v>
      </c>
      <c r="F754">
        <v>2</v>
      </c>
      <c r="G754">
        <v>0.25</v>
      </c>
      <c r="H754">
        <v>0.17</v>
      </c>
      <c r="I754" t="s">
        <v>21</v>
      </c>
      <c r="J754" t="s">
        <v>248</v>
      </c>
      <c r="K754">
        <f t="shared" si="11"/>
        <v>2016.98</v>
      </c>
    </row>
    <row r="755" spans="1:11">
      <c r="A755">
        <v>754</v>
      </c>
      <c r="B755" s="1">
        <v>45578</v>
      </c>
      <c r="C755" t="s">
        <v>26</v>
      </c>
      <c r="D755" t="s">
        <v>11</v>
      </c>
      <c r="E755">
        <v>1067.5899999999999</v>
      </c>
      <c r="F755">
        <v>3</v>
      </c>
      <c r="G755">
        <v>0.3</v>
      </c>
      <c r="H755">
        <v>0.2</v>
      </c>
      <c r="I755" t="s">
        <v>21</v>
      </c>
      <c r="J755" t="s">
        <v>103</v>
      </c>
      <c r="K755">
        <f t="shared" si="11"/>
        <v>3202.7699999999995</v>
      </c>
    </row>
    <row r="756" spans="1:11">
      <c r="A756">
        <v>755</v>
      </c>
      <c r="B756" s="1">
        <v>45454</v>
      </c>
      <c r="C756" t="s">
        <v>23</v>
      </c>
      <c r="D756" t="s">
        <v>15</v>
      </c>
      <c r="E756">
        <v>1206.99</v>
      </c>
      <c r="F756">
        <v>5</v>
      </c>
      <c r="G756">
        <v>0.26</v>
      </c>
      <c r="H756">
        <v>0.4</v>
      </c>
      <c r="I756" t="s">
        <v>12</v>
      </c>
      <c r="J756" t="s">
        <v>176</v>
      </c>
      <c r="K756">
        <f t="shared" si="11"/>
        <v>6034.95</v>
      </c>
    </row>
    <row r="757" spans="1:11">
      <c r="A757">
        <v>756</v>
      </c>
      <c r="B757" s="1">
        <v>45478</v>
      </c>
      <c r="C757" t="s">
        <v>23</v>
      </c>
      <c r="D757" t="s">
        <v>15</v>
      </c>
      <c r="E757">
        <v>867.46</v>
      </c>
      <c r="F757">
        <v>5</v>
      </c>
      <c r="G757">
        <v>0.1</v>
      </c>
      <c r="H757">
        <v>0.39</v>
      </c>
      <c r="I757" t="s">
        <v>24</v>
      </c>
      <c r="J757" t="s">
        <v>305</v>
      </c>
      <c r="K757">
        <f t="shared" si="11"/>
        <v>4337.3</v>
      </c>
    </row>
    <row r="758" spans="1:11">
      <c r="A758">
        <v>757</v>
      </c>
      <c r="B758" s="1">
        <v>45582</v>
      </c>
      <c r="C758" t="s">
        <v>23</v>
      </c>
      <c r="D758" t="s">
        <v>15</v>
      </c>
      <c r="E758">
        <v>1277.54</v>
      </c>
      <c r="F758">
        <v>3</v>
      </c>
      <c r="G758">
        <v>0</v>
      </c>
      <c r="H758">
        <v>0.12</v>
      </c>
      <c r="I758" t="s">
        <v>21</v>
      </c>
      <c r="J758" t="s">
        <v>218</v>
      </c>
      <c r="K758">
        <f t="shared" si="11"/>
        <v>3832.62</v>
      </c>
    </row>
    <row r="759" spans="1:11">
      <c r="A759">
        <v>758</v>
      </c>
      <c r="B759" s="1">
        <v>45474</v>
      </c>
      <c r="C759" t="s">
        <v>26</v>
      </c>
      <c r="D759" t="s">
        <v>11</v>
      </c>
      <c r="E759">
        <v>48.22</v>
      </c>
      <c r="F759">
        <v>2</v>
      </c>
      <c r="G759">
        <v>0.21</v>
      </c>
      <c r="H759">
        <v>0.19</v>
      </c>
      <c r="I759" t="s">
        <v>16</v>
      </c>
      <c r="J759" t="s">
        <v>22</v>
      </c>
      <c r="K759">
        <f t="shared" si="11"/>
        <v>96.44</v>
      </c>
    </row>
    <row r="760" spans="1:11">
      <c r="A760">
        <v>759</v>
      </c>
      <c r="B760" s="1">
        <v>45488</v>
      </c>
      <c r="C760" t="s">
        <v>20</v>
      </c>
      <c r="D760" t="s">
        <v>15</v>
      </c>
      <c r="E760">
        <v>1259.75</v>
      </c>
      <c r="F760">
        <v>3</v>
      </c>
      <c r="G760">
        <v>0</v>
      </c>
      <c r="H760">
        <v>0.38</v>
      </c>
      <c r="I760" t="s">
        <v>12</v>
      </c>
      <c r="J760" t="s">
        <v>171</v>
      </c>
      <c r="K760">
        <f t="shared" si="11"/>
        <v>3779.25</v>
      </c>
    </row>
    <row r="761" spans="1:11">
      <c r="A761">
        <v>760</v>
      </c>
      <c r="B761" s="1">
        <v>45320</v>
      </c>
      <c r="C761" t="s">
        <v>10</v>
      </c>
      <c r="D761" t="s">
        <v>11</v>
      </c>
      <c r="E761">
        <v>1300.04</v>
      </c>
      <c r="F761">
        <v>2</v>
      </c>
      <c r="G761">
        <v>0.12</v>
      </c>
      <c r="H761">
        <v>0.12</v>
      </c>
      <c r="I761" t="s">
        <v>16</v>
      </c>
      <c r="J761" t="s">
        <v>190</v>
      </c>
      <c r="K761">
        <f t="shared" si="11"/>
        <v>2600.08</v>
      </c>
    </row>
    <row r="762" spans="1:11">
      <c r="A762">
        <v>761</v>
      </c>
      <c r="B762" s="1">
        <v>45444</v>
      </c>
      <c r="C762" t="s">
        <v>14</v>
      </c>
      <c r="D762" t="s">
        <v>15</v>
      </c>
      <c r="E762">
        <v>1141.18</v>
      </c>
      <c r="F762">
        <v>3</v>
      </c>
      <c r="G762">
        <v>0.2</v>
      </c>
      <c r="H762">
        <v>0.14000000000000001</v>
      </c>
      <c r="I762" t="s">
        <v>24</v>
      </c>
      <c r="J762" t="s">
        <v>167</v>
      </c>
      <c r="K762">
        <f t="shared" si="11"/>
        <v>3423.54</v>
      </c>
    </row>
    <row r="763" spans="1:11">
      <c r="A763">
        <v>762</v>
      </c>
      <c r="B763" s="1">
        <v>45474</v>
      </c>
      <c r="C763" t="s">
        <v>26</v>
      </c>
      <c r="D763" t="s">
        <v>11</v>
      </c>
      <c r="E763">
        <v>362.59</v>
      </c>
      <c r="F763">
        <v>3</v>
      </c>
      <c r="G763">
        <v>0.26</v>
      </c>
      <c r="H763">
        <v>0.21</v>
      </c>
      <c r="I763" t="s">
        <v>24</v>
      </c>
      <c r="J763" t="s">
        <v>306</v>
      </c>
      <c r="K763">
        <f t="shared" si="11"/>
        <v>1087.77</v>
      </c>
    </row>
    <row r="764" spans="1:11">
      <c r="A764">
        <v>763</v>
      </c>
      <c r="B764" s="1">
        <v>45341</v>
      </c>
      <c r="C764" t="s">
        <v>26</v>
      </c>
      <c r="D764" t="s">
        <v>11</v>
      </c>
      <c r="E764">
        <v>937.33</v>
      </c>
      <c r="F764">
        <v>3</v>
      </c>
      <c r="G764">
        <v>0.14000000000000001</v>
      </c>
      <c r="H764">
        <v>0.23</v>
      </c>
      <c r="I764" t="s">
        <v>16</v>
      </c>
      <c r="J764" t="s">
        <v>233</v>
      </c>
      <c r="K764">
        <f t="shared" si="11"/>
        <v>2811.9900000000002</v>
      </c>
    </row>
    <row r="765" spans="1:11">
      <c r="A765">
        <v>764</v>
      </c>
      <c r="B765" s="1">
        <v>45305</v>
      </c>
      <c r="C765" t="s">
        <v>23</v>
      </c>
      <c r="D765" t="s">
        <v>15</v>
      </c>
      <c r="E765">
        <v>983.03</v>
      </c>
      <c r="F765">
        <v>1</v>
      </c>
      <c r="G765">
        <v>0.14000000000000001</v>
      </c>
      <c r="H765">
        <v>0.38</v>
      </c>
      <c r="I765" t="s">
        <v>21</v>
      </c>
      <c r="J765" t="s">
        <v>174</v>
      </c>
      <c r="K765">
        <f t="shared" si="11"/>
        <v>983.03</v>
      </c>
    </row>
    <row r="766" spans="1:11">
      <c r="A766">
        <v>765</v>
      </c>
      <c r="B766" s="1">
        <v>45473</v>
      </c>
      <c r="C766" t="s">
        <v>10</v>
      </c>
      <c r="D766" t="s">
        <v>11</v>
      </c>
      <c r="E766">
        <v>103.69</v>
      </c>
      <c r="F766">
        <v>3</v>
      </c>
      <c r="G766">
        <v>0.25</v>
      </c>
      <c r="H766">
        <v>0.21</v>
      </c>
      <c r="I766" t="s">
        <v>24</v>
      </c>
      <c r="J766" t="s">
        <v>277</v>
      </c>
      <c r="K766">
        <f t="shared" si="11"/>
        <v>311.07</v>
      </c>
    </row>
    <row r="767" spans="1:11">
      <c r="A767">
        <v>766</v>
      </c>
      <c r="B767" s="1">
        <v>45350</v>
      </c>
      <c r="C767" t="s">
        <v>31</v>
      </c>
      <c r="D767" t="s">
        <v>11</v>
      </c>
      <c r="E767">
        <v>575.36</v>
      </c>
      <c r="F767">
        <v>3</v>
      </c>
      <c r="G767">
        <v>0.05</v>
      </c>
      <c r="H767">
        <v>0.25</v>
      </c>
      <c r="I767" t="s">
        <v>16</v>
      </c>
      <c r="J767" t="s">
        <v>142</v>
      </c>
      <c r="K767">
        <f t="shared" si="11"/>
        <v>1726.08</v>
      </c>
    </row>
    <row r="768" spans="1:11">
      <c r="A768">
        <v>767</v>
      </c>
      <c r="B768" s="1">
        <v>45612</v>
      </c>
      <c r="C768" t="s">
        <v>26</v>
      </c>
      <c r="D768" t="s">
        <v>11</v>
      </c>
      <c r="E768">
        <v>1053.28</v>
      </c>
      <c r="F768">
        <v>1</v>
      </c>
      <c r="G768">
        <v>0.02</v>
      </c>
      <c r="H768">
        <v>0.27</v>
      </c>
      <c r="I768" t="s">
        <v>12</v>
      </c>
      <c r="J768" t="s">
        <v>49</v>
      </c>
      <c r="K768">
        <f t="shared" si="11"/>
        <v>1053.28</v>
      </c>
    </row>
    <row r="769" spans="1:11">
      <c r="A769">
        <v>768</v>
      </c>
      <c r="B769" s="1">
        <v>45505</v>
      </c>
      <c r="C769" t="s">
        <v>20</v>
      </c>
      <c r="D769" t="s">
        <v>15</v>
      </c>
      <c r="E769">
        <v>963.01</v>
      </c>
      <c r="F769">
        <v>4</v>
      </c>
      <c r="G769">
        <v>0.12</v>
      </c>
      <c r="H769">
        <v>0.16</v>
      </c>
      <c r="I769" t="s">
        <v>24</v>
      </c>
      <c r="J769" t="s">
        <v>290</v>
      </c>
      <c r="K769">
        <f t="shared" si="11"/>
        <v>3852.04</v>
      </c>
    </row>
    <row r="770" spans="1:11">
      <c r="A770">
        <v>769</v>
      </c>
      <c r="B770" s="1">
        <v>45403</v>
      </c>
      <c r="C770" t="s">
        <v>31</v>
      </c>
      <c r="D770" t="s">
        <v>11</v>
      </c>
      <c r="E770">
        <v>880.1</v>
      </c>
      <c r="F770">
        <v>1</v>
      </c>
      <c r="G770">
        <v>0.25</v>
      </c>
      <c r="H770">
        <v>0.15</v>
      </c>
      <c r="I770" t="s">
        <v>24</v>
      </c>
      <c r="J770" t="s">
        <v>46</v>
      </c>
      <c r="K770">
        <f t="shared" si="11"/>
        <v>880.1</v>
      </c>
    </row>
    <row r="771" spans="1:11">
      <c r="A771">
        <v>770</v>
      </c>
      <c r="B771" s="1">
        <v>45409</v>
      </c>
      <c r="C771" t="s">
        <v>31</v>
      </c>
      <c r="D771" t="s">
        <v>11</v>
      </c>
      <c r="E771">
        <v>61.83</v>
      </c>
      <c r="F771">
        <v>3</v>
      </c>
      <c r="G771">
        <v>0.21</v>
      </c>
      <c r="H771">
        <v>0.35</v>
      </c>
      <c r="I771" t="s">
        <v>24</v>
      </c>
      <c r="J771" t="s">
        <v>191</v>
      </c>
      <c r="K771">
        <f t="shared" si="11"/>
        <v>185.49</v>
      </c>
    </row>
    <row r="772" spans="1:11">
      <c r="A772">
        <v>771</v>
      </c>
      <c r="B772" s="1">
        <v>45304</v>
      </c>
      <c r="C772" t="s">
        <v>26</v>
      </c>
      <c r="D772" t="s">
        <v>11</v>
      </c>
      <c r="E772">
        <v>1036.4100000000001</v>
      </c>
      <c r="F772">
        <v>3</v>
      </c>
      <c r="G772">
        <v>0.19</v>
      </c>
      <c r="H772">
        <v>0.39</v>
      </c>
      <c r="I772" t="s">
        <v>16</v>
      </c>
      <c r="J772" t="s">
        <v>51</v>
      </c>
      <c r="K772">
        <f t="shared" ref="K772:K835" si="12">E772*F772</f>
        <v>3109.2300000000005</v>
      </c>
    </row>
    <row r="773" spans="1:11">
      <c r="A773">
        <v>772</v>
      </c>
      <c r="B773" s="1">
        <v>45317</v>
      </c>
      <c r="C773" t="s">
        <v>26</v>
      </c>
      <c r="D773" t="s">
        <v>11</v>
      </c>
      <c r="E773">
        <v>251.69</v>
      </c>
      <c r="F773">
        <v>5</v>
      </c>
      <c r="G773">
        <v>0.25</v>
      </c>
      <c r="H773">
        <v>0.28999999999999998</v>
      </c>
      <c r="I773" t="s">
        <v>24</v>
      </c>
      <c r="J773" t="s">
        <v>114</v>
      </c>
      <c r="K773">
        <f t="shared" si="12"/>
        <v>1258.45</v>
      </c>
    </row>
    <row r="774" spans="1:11">
      <c r="A774">
        <v>773</v>
      </c>
      <c r="B774" s="1">
        <v>45299</v>
      </c>
      <c r="C774" t="s">
        <v>23</v>
      </c>
      <c r="D774" t="s">
        <v>15</v>
      </c>
      <c r="E774">
        <v>1117.33</v>
      </c>
      <c r="F774">
        <v>4</v>
      </c>
      <c r="G774">
        <v>0.11</v>
      </c>
      <c r="H774">
        <v>0.12</v>
      </c>
      <c r="I774" t="s">
        <v>21</v>
      </c>
      <c r="J774" t="s">
        <v>229</v>
      </c>
      <c r="K774">
        <f t="shared" si="12"/>
        <v>4469.32</v>
      </c>
    </row>
    <row r="775" spans="1:11">
      <c r="A775">
        <v>774</v>
      </c>
      <c r="B775" s="1">
        <v>45407</v>
      </c>
      <c r="C775" t="s">
        <v>14</v>
      </c>
      <c r="D775" t="s">
        <v>15</v>
      </c>
      <c r="E775">
        <v>123.13</v>
      </c>
      <c r="F775">
        <v>2</v>
      </c>
      <c r="G775">
        <v>0.03</v>
      </c>
      <c r="H775">
        <v>0.28000000000000003</v>
      </c>
      <c r="I775" t="s">
        <v>24</v>
      </c>
      <c r="J775" t="s">
        <v>41</v>
      </c>
      <c r="K775">
        <f t="shared" si="12"/>
        <v>246.26</v>
      </c>
    </row>
    <row r="776" spans="1:11">
      <c r="A776">
        <v>775</v>
      </c>
      <c r="B776" s="1">
        <v>45530</v>
      </c>
      <c r="C776" t="s">
        <v>31</v>
      </c>
      <c r="D776" t="s">
        <v>11</v>
      </c>
      <c r="E776">
        <v>388.27</v>
      </c>
      <c r="F776">
        <v>3</v>
      </c>
      <c r="G776">
        <v>0.06</v>
      </c>
      <c r="H776">
        <v>0.36</v>
      </c>
      <c r="I776" t="s">
        <v>24</v>
      </c>
      <c r="J776" t="s">
        <v>206</v>
      </c>
      <c r="K776">
        <f t="shared" si="12"/>
        <v>1164.81</v>
      </c>
    </row>
    <row r="777" spans="1:11">
      <c r="A777">
        <v>776</v>
      </c>
      <c r="B777" s="1">
        <v>45364</v>
      </c>
      <c r="C777" t="s">
        <v>23</v>
      </c>
      <c r="D777" t="s">
        <v>15</v>
      </c>
      <c r="E777">
        <v>1033.0899999999999</v>
      </c>
      <c r="F777">
        <v>3</v>
      </c>
      <c r="G777">
        <v>0.22</v>
      </c>
      <c r="H777">
        <v>0.19</v>
      </c>
      <c r="I777" t="s">
        <v>24</v>
      </c>
      <c r="J777" t="s">
        <v>90</v>
      </c>
      <c r="K777">
        <f t="shared" si="12"/>
        <v>3099.2699999999995</v>
      </c>
    </row>
    <row r="778" spans="1:11">
      <c r="A778">
        <v>777</v>
      </c>
      <c r="B778" s="1">
        <v>45514</v>
      </c>
      <c r="C778" t="s">
        <v>31</v>
      </c>
      <c r="D778" t="s">
        <v>11</v>
      </c>
      <c r="E778">
        <v>1495.93</v>
      </c>
      <c r="F778">
        <v>4</v>
      </c>
      <c r="G778">
        <v>0.06</v>
      </c>
      <c r="H778">
        <v>0.31</v>
      </c>
      <c r="I778" t="s">
        <v>21</v>
      </c>
      <c r="J778" t="s">
        <v>117</v>
      </c>
      <c r="K778">
        <f t="shared" si="12"/>
        <v>5983.72</v>
      </c>
    </row>
    <row r="779" spans="1:11">
      <c r="A779">
        <v>778</v>
      </c>
      <c r="B779" s="1">
        <v>45522</v>
      </c>
      <c r="C779" t="s">
        <v>14</v>
      </c>
      <c r="D779" t="s">
        <v>15</v>
      </c>
      <c r="E779">
        <v>1460.74</v>
      </c>
      <c r="F779">
        <v>5</v>
      </c>
      <c r="G779">
        <v>0.02</v>
      </c>
      <c r="H779">
        <v>0.2</v>
      </c>
      <c r="I779" t="s">
        <v>16</v>
      </c>
      <c r="J779" t="s">
        <v>94</v>
      </c>
      <c r="K779">
        <f t="shared" si="12"/>
        <v>7303.7</v>
      </c>
    </row>
    <row r="780" spans="1:11">
      <c r="A780">
        <v>779</v>
      </c>
      <c r="B780" s="1">
        <v>45641</v>
      </c>
      <c r="C780" t="s">
        <v>14</v>
      </c>
      <c r="D780" t="s">
        <v>15</v>
      </c>
      <c r="E780">
        <v>667.21</v>
      </c>
      <c r="F780">
        <v>4</v>
      </c>
      <c r="G780">
        <v>0.25</v>
      </c>
      <c r="H780">
        <v>0.36</v>
      </c>
      <c r="I780" t="s">
        <v>21</v>
      </c>
      <c r="J780" t="s">
        <v>149</v>
      </c>
      <c r="K780">
        <f t="shared" si="12"/>
        <v>2668.84</v>
      </c>
    </row>
    <row r="781" spans="1:11">
      <c r="A781">
        <v>780</v>
      </c>
      <c r="B781" s="1">
        <v>45349</v>
      </c>
      <c r="C781" t="s">
        <v>26</v>
      </c>
      <c r="D781" t="s">
        <v>11</v>
      </c>
      <c r="E781">
        <v>476.43</v>
      </c>
      <c r="F781">
        <v>3</v>
      </c>
      <c r="G781">
        <v>0.24</v>
      </c>
      <c r="H781">
        <v>0.22</v>
      </c>
      <c r="I781" t="s">
        <v>24</v>
      </c>
      <c r="J781" t="s">
        <v>129</v>
      </c>
      <c r="K781">
        <f t="shared" si="12"/>
        <v>1429.29</v>
      </c>
    </row>
    <row r="782" spans="1:11">
      <c r="A782">
        <v>781</v>
      </c>
      <c r="B782" s="1">
        <v>45343</v>
      </c>
      <c r="C782" t="s">
        <v>31</v>
      </c>
      <c r="D782" t="s">
        <v>11</v>
      </c>
      <c r="E782">
        <v>363.31</v>
      </c>
      <c r="F782">
        <v>4</v>
      </c>
      <c r="G782">
        <v>0.02</v>
      </c>
      <c r="H782">
        <v>0.38</v>
      </c>
      <c r="I782" t="s">
        <v>16</v>
      </c>
      <c r="J782" t="s">
        <v>51</v>
      </c>
      <c r="K782">
        <f t="shared" si="12"/>
        <v>1453.24</v>
      </c>
    </row>
    <row r="783" spans="1:11">
      <c r="A783">
        <v>782</v>
      </c>
      <c r="B783" s="1">
        <v>45587</v>
      </c>
      <c r="C783" t="s">
        <v>26</v>
      </c>
      <c r="D783" t="s">
        <v>11</v>
      </c>
      <c r="E783">
        <v>671.72</v>
      </c>
      <c r="F783">
        <v>4</v>
      </c>
      <c r="G783">
        <v>0.28999999999999998</v>
      </c>
      <c r="H783">
        <v>0.33</v>
      </c>
      <c r="I783" t="s">
        <v>16</v>
      </c>
      <c r="J783" t="s">
        <v>17</v>
      </c>
      <c r="K783">
        <f t="shared" si="12"/>
        <v>2686.88</v>
      </c>
    </row>
    <row r="784" spans="1:11">
      <c r="A784">
        <v>783</v>
      </c>
      <c r="B784" s="1">
        <v>45401</v>
      </c>
      <c r="C784" t="s">
        <v>23</v>
      </c>
      <c r="D784" t="s">
        <v>15</v>
      </c>
      <c r="E784">
        <v>193.79</v>
      </c>
      <c r="F784">
        <v>4</v>
      </c>
      <c r="G784">
        <v>0.08</v>
      </c>
      <c r="H784">
        <v>0.34</v>
      </c>
      <c r="I784" t="s">
        <v>21</v>
      </c>
      <c r="J784" t="s">
        <v>175</v>
      </c>
      <c r="K784">
        <f t="shared" si="12"/>
        <v>775.16</v>
      </c>
    </row>
    <row r="785" spans="1:11">
      <c r="A785">
        <v>784</v>
      </c>
      <c r="B785" s="1">
        <v>45330</v>
      </c>
      <c r="C785" t="s">
        <v>23</v>
      </c>
      <c r="D785" t="s">
        <v>15</v>
      </c>
      <c r="E785">
        <v>955.11</v>
      </c>
      <c r="F785">
        <v>5</v>
      </c>
      <c r="G785">
        <v>7.0000000000000007E-2</v>
      </c>
      <c r="H785">
        <v>0.14000000000000001</v>
      </c>
      <c r="I785" t="s">
        <v>16</v>
      </c>
      <c r="J785" t="s">
        <v>189</v>
      </c>
      <c r="K785">
        <f t="shared" si="12"/>
        <v>4775.55</v>
      </c>
    </row>
    <row r="786" spans="1:11">
      <c r="A786">
        <v>785</v>
      </c>
      <c r="B786" s="1">
        <v>45392</v>
      </c>
      <c r="C786" t="s">
        <v>23</v>
      </c>
      <c r="D786" t="s">
        <v>15</v>
      </c>
      <c r="E786">
        <v>564.25</v>
      </c>
      <c r="F786">
        <v>4</v>
      </c>
      <c r="G786">
        <v>0.2</v>
      </c>
      <c r="H786">
        <v>0.12</v>
      </c>
      <c r="I786" t="s">
        <v>16</v>
      </c>
      <c r="J786" t="s">
        <v>79</v>
      </c>
      <c r="K786">
        <f t="shared" si="12"/>
        <v>2257</v>
      </c>
    </row>
    <row r="787" spans="1:11">
      <c r="A787">
        <v>786</v>
      </c>
      <c r="B787" s="1">
        <v>45635</v>
      </c>
      <c r="C787" t="s">
        <v>23</v>
      </c>
      <c r="D787" t="s">
        <v>15</v>
      </c>
      <c r="E787">
        <v>275.92</v>
      </c>
      <c r="F787">
        <v>4</v>
      </c>
      <c r="G787">
        <v>0.04</v>
      </c>
      <c r="H787">
        <v>0.2</v>
      </c>
      <c r="I787" t="s">
        <v>16</v>
      </c>
      <c r="J787" t="s">
        <v>18</v>
      </c>
      <c r="K787">
        <f t="shared" si="12"/>
        <v>1103.68</v>
      </c>
    </row>
    <row r="788" spans="1:11">
      <c r="A788">
        <v>787</v>
      </c>
      <c r="B788" s="1">
        <v>45593</v>
      </c>
      <c r="C788" t="s">
        <v>10</v>
      </c>
      <c r="D788" t="s">
        <v>11</v>
      </c>
      <c r="E788">
        <v>253.51</v>
      </c>
      <c r="F788">
        <v>2</v>
      </c>
      <c r="G788">
        <v>0.25</v>
      </c>
      <c r="H788">
        <v>0.31</v>
      </c>
      <c r="I788" t="s">
        <v>21</v>
      </c>
      <c r="J788" t="s">
        <v>64</v>
      </c>
      <c r="K788">
        <f t="shared" si="12"/>
        <v>507.02</v>
      </c>
    </row>
    <row r="789" spans="1:11">
      <c r="A789">
        <v>788</v>
      </c>
      <c r="B789" s="1">
        <v>45419</v>
      </c>
      <c r="C789" t="s">
        <v>10</v>
      </c>
      <c r="D789" t="s">
        <v>11</v>
      </c>
      <c r="E789">
        <v>1210.6099999999999</v>
      </c>
      <c r="F789">
        <v>5</v>
      </c>
      <c r="G789">
        <v>0.14000000000000001</v>
      </c>
      <c r="H789">
        <v>0.33</v>
      </c>
      <c r="I789" t="s">
        <v>12</v>
      </c>
      <c r="J789" t="s">
        <v>302</v>
      </c>
      <c r="K789">
        <f t="shared" si="12"/>
        <v>6053.0499999999993</v>
      </c>
    </row>
    <row r="790" spans="1:11">
      <c r="A790">
        <v>789</v>
      </c>
      <c r="B790" s="1">
        <v>45634</v>
      </c>
      <c r="C790" t="s">
        <v>31</v>
      </c>
      <c r="D790" t="s">
        <v>11</v>
      </c>
      <c r="E790">
        <v>237.52</v>
      </c>
      <c r="F790">
        <v>3</v>
      </c>
      <c r="G790">
        <v>0</v>
      </c>
      <c r="H790">
        <v>0.15</v>
      </c>
      <c r="I790" t="s">
        <v>16</v>
      </c>
      <c r="J790" t="s">
        <v>227</v>
      </c>
      <c r="K790">
        <f t="shared" si="12"/>
        <v>712.56000000000006</v>
      </c>
    </row>
    <row r="791" spans="1:11">
      <c r="A791">
        <v>790</v>
      </c>
      <c r="B791" s="1">
        <v>45475</v>
      </c>
      <c r="C791" t="s">
        <v>23</v>
      </c>
      <c r="D791" t="s">
        <v>15</v>
      </c>
      <c r="E791">
        <v>146.35</v>
      </c>
      <c r="F791">
        <v>2</v>
      </c>
      <c r="G791">
        <v>0.25</v>
      </c>
      <c r="H791">
        <v>0.12</v>
      </c>
      <c r="I791" t="s">
        <v>16</v>
      </c>
      <c r="J791" t="s">
        <v>89</v>
      </c>
      <c r="K791">
        <f t="shared" si="12"/>
        <v>292.7</v>
      </c>
    </row>
    <row r="792" spans="1:11">
      <c r="A792">
        <v>791</v>
      </c>
      <c r="B792" s="1">
        <v>45397</v>
      </c>
      <c r="C792" t="s">
        <v>20</v>
      </c>
      <c r="D792" t="s">
        <v>15</v>
      </c>
      <c r="E792">
        <v>561.62</v>
      </c>
      <c r="F792">
        <v>5</v>
      </c>
      <c r="G792">
        <v>0.1</v>
      </c>
      <c r="H792">
        <v>0.26</v>
      </c>
      <c r="I792" t="s">
        <v>24</v>
      </c>
      <c r="J792" t="s">
        <v>41</v>
      </c>
      <c r="K792">
        <f t="shared" si="12"/>
        <v>2808.1</v>
      </c>
    </row>
    <row r="793" spans="1:11">
      <c r="A793">
        <v>792</v>
      </c>
      <c r="B793" s="1">
        <v>45439</v>
      </c>
      <c r="C793" t="s">
        <v>31</v>
      </c>
      <c r="D793" t="s">
        <v>11</v>
      </c>
      <c r="E793">
        <v>487.97</v>
      </c>
      <c r="F793">
        <v>5</v>
      </c>
      <c r="G793">
        <v>0.3</v>
      </c>
      <c r="H793">
        <v>0.37</v>
      </c>
      <c r="I793" t="s">
        <v>24</v>
      </c>
      <c r="J793" t="s">
        <v>152</v>
      </c>
      <c r="K793">
        <f t="shared" si="12"/>
        <v>2439.8500000000004</v>
      </c>
    </row>
    <row r="794" spans="1:11">
      <c r="A794">
        <v>793</v>
      </c>
      <c r="B794" s="1">
        <v>45623</v>
      </c>
      <c r="C794" t="s">
        <v>23</v>
      </c>
      <c r="D794" t="s">
        <v>15</v>
      </c>
      <c r="E794">
        <v>48.34</v>
      </c>
      <c r="F794">
        <v>5</v>
      </c>
      <c r="G794">
        <v>0.15</v>
      </c>
      <c r="H794">
        <v>0.32</v>
      </c>
      <c r="I794" t="s">
        <v>21</v>
      </c>
      <c r="J794" t="s">
        <v>307</v>
      </c>
      <c r="K794">
        <f t="shared" si="12"/>
        <v>241.70000000000002</v>
      </c>
    </row>
    <row r="795" spans="1:11">
      <c r="A795">
        <v>794</v>
      </c>
      <c r="B795" s="1">
        <v>45339</v>
      </c>
      <c r="C795" t="s">
        <v>31</v>
      </c>
      <c r="D795" t="s">
        <v>11</v>
      </c>
      <c r="E795">
        <v>737.69</v>
      </c>
      <c r="F795">
        <v>3</v>
      </c>
      <c r="G795">
        <v>0.2</v>
      </c>
      <c r="H795">
        <v>0.14000000000000001</v>
      </c>
      <c r="I795" t="s">
        <v>12</v>
      </c>
      <c r="J795" t="s">
        <v>177</v>
      </c>
      <c r="K795">
        <f t="shared" si="12"/>
        <v>2213.0700000000002</v>
      </c>
    </row>
    <row r="796" spans="1:11">
      <c r="A796">
        <v>795</v>
      </c>
      <c r="B796" s="1">
        <v>45656</v>
      </c>
      <c r="C796" t="s">
        <v>23</v>
      </c>
      <c r="D796" t="s">
        <v>15</v>
      </c>
      <c r="E796">
        <v>625.04</v>
      </c>
      <c r="F796">
        <v>4</v>
      </c>
      <c r="G796">
        <v>0.12</v>
      </c>
      <c r="H796">
        <v>0.25</v>
      </c>
      <c r="I796" t="s">
        <v>21</v>
      </c>
      <c r="J796" t="s">
        <v>19</v>
      </c>
      <c r="K796">
        <f t="shared" si="12"/>
        <v>2500.16</v>
      </c>
    </row>
    <row r="797" spans="1:11">
      <c r="A797">
        <v>796</v>
      </c>
      <c r="B797" s="1">
        <v>45479</v>
      </c>
      <c r="C797" t="s">
        <v>10</v>
      </c>
      <c r="D797" t="s">
        <v>11</v>
      </c>
      <c r="E797">
        <v>1428.38</v>
      </c>
      <c r="F797">
        <v>5</v>
      </c>
      <c r="G797">
        <v>0.15</v>
      </c>
      <c r="H797">
        <v>0.32</v>
      </c>
      <c r="I797" t="s">
        <v>16</v>
      </c>
      <c r="J797" t="s">
        <v>183</v>
      </c>
      <c r="K797">
        <f t="shared" si="12"/>
        <v>7141.9000000000005</v>
      </c>
    </row>
    <row r="798" spans="1:11">
      <c r="A798">
        <v>797</v>
      </c>
      <c r="B798" s="1">
        <v>45624</v>
      </c>
      <c r="C798" t="s">
        <v>10</v>
      </c>
      <c r="D798" t="s">
        <v>11</v>
      </c>
      <c r="E798">
        <v>747.2</v>
      </c>
      <c r="F798">
        <v>4</v>
      </c>
      <c r="G798">
        <v>0.28999999999999998</v>
      </c>
      <c r="H798">
        <v>0.38</v>
      </c>
      <c r="I798" t="s">
        <v>21</v>
      </c>
      <c r="J798" t="s">
        <v>116</v>
      </c>
      <c r="K798">
        <f t="shared" si="12"/>
        <v>2988.8</v>
      </c>
    </row>
    <row r="799" spans="1:11">
      <c r="A799">
        <v>798</v>
      </c>
      <c r="B799" s="1">
        <v>45422</v>
      </c>
      <c r="C799" t="s">
        <v>14</v>
      </c>
      <c r="D799" t="s">
        <v>15</v>
      </c>
      <c r="E799">
        <v>1000.96</v>
      </c>
      <c r="F799">
        <v>4</v>
      </c>
      <c r="G799">
        <v>0.05</v>
      </c>
      <c r="H799">
        <v>0.36</v>
      </c>
      <c r="I799" t="s">
        <v>16</v>
      </c>
      <c r="J799" t="s">
        <v>190</v>
      </c>
      <c r="K799">
        <f t="shared" si="12"/>
        <v>4003.84</v>
      </c>
    </row>
    <row r="800" spans="1:11">
      <c r="A800">
        <v>799</v>
      </c>
      <c r="B800" s="1">
        <v>45491</v>
      </c>
      <c r="C800" t="s">
        <v>31</v>
      </c>
      <c r="D800" t="s">
        <v>11</v>
      </c>
      <c r="E800">
        <v>294.69</v>
      </c>
      <c r="F800">
        <v>2</v>
      </c>
      <c r="G800">
        <v>0.27</v>
      </c>
      <c r="H800">
        <v>0.28000000000000003</v>
      </c>
      <c r="I800" t="s">
        <v>12</v>
      </c>
      <c r="J800" t="s">
        <v>202</v>
      </c>
      <c r="K800">
        <f t="shared" si="12"/>
        <v>589.38</v>
      </c>
    </row>
    <row r="801" spans="1:11">
      <c r="A801">
        <v>800</v>
      </c>
      <c r="B801" s="1">
        <v>45547</v>
      </c>
      <c r="C801" t="s">
        <v>26</v>
      </c>
      <c r="D801" t="s">
        <v>11</v>
      </c>
      <c r="E801">
        <v>849.18</v>
      </c>
      <c r="F801">
        <v>1</v>
      </c>
      <c r="G801">
        <v>0.24</v>
      </c>
      <c r="H801">
        <v>0.18</v>
      </c>
      <c r="I801" t="s">
        <v>24</v>
      </c>
      <c r="J801" t="s">
        <v>244</v>
      </c>
      <c r="K801">
        <f t="shared" si="12"/>
        <v>849.18</v>
      </c>
    </row>
    <row r="802" spans="1:11">
      <c r="A802">
        <v>801</v>
      </c>
      <c r="B802" s="1">
        <v>45616</v>
      </c>
      <c r="C802" t="s">
        <v>10</v>
      </c>
      <c r="D802" t="s">
        <v>11</v>
      </c>
      <c r="E802">
        <v>153.35</v>
      </c>
      <c r="F802">
        <v>1</v>
      </c>
      <c r="G802">
        <v>0.22</v>
      </c>
      <c r="H802">
        <v>0.27</v>
      </c>
      <c r="I802" t="s">
        <v>24</v>
      </c>
      <c r="J802" t="s">
        <v>48</v>
      </c>
      <c r="K802">
        <f t="shared" si="12"/>
        <v>153.35</v>
      </c>
    </row>
    <row r="803" spans="1:11">
      <c r="A803">
        <v>802</v>
      </c>
      <c r="B803" s="1">
        <v>45504</v>
      </c>
      <c r="C803" t="s">
        <v>31</v>
      </c>
      <c r="D803" t="s">
        <v>11</v>
      </c>
      <c r="E803">
        <v>283.31</v>
      </c>
      <c r="F803">
        <v>1</v>
      </c>
      <c r="G803">
        <v>0.01</v>
      </c>
      <c r="H803">
        <v>0.18</v>
      </c>
      <c r="I803" t="s">
        <v>12</v>
      </c>
      <c r="J803" t="s">
        <v>80</v>
      </c>
      <c r="K803">
        <f t="shared" si="12"/>
        <v>283.31</v>
      </c>
    </row>
    <row r="804" spans="1:11">
      <c r="A804">
        <v>803</v>
      </c>
      <c r="B804" s="1">
        <v>45405</v>
      </c>
      <c r="C804" t="s">
        <v>20</v>
      </c>
      <c r="D804" t="s">
        <v>15</v>
      </c>
      <c r="E804">
        <v>1314.26</v>
      </c>
      <c r="F804">
        <v>4</v>
      </c>
      <c r="G804">
        <v>0</v>
      </c>
      <c r="H804">
        <v>0.36</v>
      </c>
      <c r="I804" t="s">
        <v>12</v>
      </c>
      <c r="J804" t="s">
        <v>260</v>
      </c>
      <c r="K804">
        <f t="shared" si="12"/>
        <v>5257.04</v>
      </c>
    </row>
    <row r="805" spans="1:11">
      <c r="A805">
        <v>804</v>
      </c>
      <c r="B805" s="1">
        <v>45564</v>
      </c>
      <c r="C805" t="s">
        <v>10</v>
      </c>
      <c r="D805" t="s">
        <v>11</v>
      </c>
      <c r="E805">
        <v>103.93</v>
      </c>
      <c r="F805">
        <v>4</v>
      </c>
      <c r="G805">
        <v>0.23</v>
      </c>
      <c r="H805">
        <v>0.15</v>
      </c>
      <c r="I805" t="s">
        <v>24</v>
      </c>
      <c r="J805" t="s">
        <v>285</v>
      </c>
      <c r="K805">
        <f t="shared" si="12"/>
        <v>415.72</v>
      </c>
    </row>
    <row r="806" spans="1:11">
      <c r="A806">
        <v>805</v>
      </c>
      <c r="B806" s="1">
        <v>45619</v>
      </c>
      <c r="C806" t="s">
        <v>31</v>
      </c>
      <c r="D806" t="s">
        <v>11</v>
      </c>
      <c r="E806">
        <v>458.57</v>
      </c>
      <c r="F806">
        <v>2</v>
      </c>
      <c r="G806">
        <v>0.28000000000000003</v>
      </c>
      <c r="H806">
        <v>0.38</v>
      </c>
      <c r="I806" t="s">
        <v>24</v>
      </c>
      <c r="J806" t="s">
        <v>290</v>
      </c>
      <c r="K806">
        <f t="shared" si="12"/>
        <v>917.14</v>
      </c>
    </row>
    <row r="807" spans="1:11">
      <c r="A807">
        <v>806</v>
      </c>
      <c r="B807" s="1">
        <v>45520</v>
      </c>
      <c r="C807" t="s">
        <v>31</v>
      </c>
      <c r="D807" t="s">
        <v>11</v>
      </c>
      <c r="E807">
        <v>331.12</v>
      </c>
      <c r="F807">
        <v>2</v>
      </c>
      <c r="G807">
        <v>0.24</v>
      </c>
      <c r="H807">
        <v>0.28000000000000003</v>
      </c>
      <c r="I807" t="s">
        <v>12</v>
      </c>
      <c r="J807" t="s">
        <v>159</v>
      </c>
      <c r="K807">
        <f t="shared" si="12"/>
        <v>662.24</v>
      </c>
    </row>
    <row r="808" spans="1:11">
      <c r="A808">
        <v>807</v>
      </c>
      <c r="B808" s="1">
        <v>45537</v>
      </c>
      <c r="C808" t="s">
        <v>10</v>
      </c>
      <c r="D808" t="s">
        <v>11</v>
      </c>
      <c r="E808">
        <v>712.79</v>
      </c>
      <c r="F808">
        <v>1</v>
      </c>
      <c r="G808">
        <v>0.21</v>
      </c>
      <c r="H808">
        <v>0.28000000000000003</v>
      </c>
      <c r="I808" t="s">
        <v>16</v>
      </c>
      <c r="J808" t="s">
        <v>238</v>
      </c>
      <c r="K808">
        <f t="shared" si="12"/>
        <v>712.79</v>
      </c>
    </row>
    <row r="809" spans="1:11">
      <c r="A809">
        <v>808</v>
      </c>
      <c r="B809" s="1">
        <v>45512</v>
      </c>
      <c r="C809" t="s">
        <v>31</v>
      </c>
      <c r="D809" t="s">
        <v>11</v>
      </c>
      <c r="E809">
        <v>659.23</v>
      </c>
      <c r="F809">
        <v>1</v>
      </c>
      <c r="G809">
        <v>0.21</v>
      </c>
      <c r="H809">
        <v>0.38</v>
      </c>
      <c r="I809" t="s">
        <v>24</v>
      </c>
      <c r="J809" t="s">
        <v>304</v>
      </c>
      <c r="K809">
        <f t="shared" si="12"/>
        <v>659.23</v>
      </c>
    </row>
    <row r="810" spans="1:11">
      <c r="A810">
        <v>809</v>
      </c>
      <c r="B810" s="1">
        <v>45440</v>
      </c>
      <c r="C810" t="s">
        <v>20</v>
      </c>
      <c r="D810" t="s">
        <v>15</v>
      </c>
      <c r="E810">
        <v>1069.48</v>
      </c>
      <c r="F810">
        <v>2</v>
      </c>
      <c r="G810">
        <v>0.05</v>
      </c>
      <c r="H810">
        <v>0.11</v>
      </c>
      <c r="I810" t="s">
        <v>21</v>
      </c>
      <c r="J810" t="s">
        <v>96</v>
      </c>
      <c r="K810">
        <f t="shared" si="12"/>
        <v>2138.96</v>
      </c>
    </row>
    <row r="811" spans="1:11">
      <c r="A811">
        <v>810</v>
      </c>
      <c r="B811" s="1">
        <v>45492</v>
      </c>
      <c r="C811" t="s">
        <v>26</v>
      </c>
      <c r="D811" t="s">
        <v>11</v>
      </c>
      <c r="E811">
        <v>92.04</v>
      </c>
      <c r="F811">
        <v>1</v>
      </c>
      <c r="G811">
        <v>0.15</v>
      </c>
      <c r="H811">
        <v>0.28000000000000003</v>
      </c>
      <c r="I811" t="s">
        <v>21</v>
      </c>
      <c r="J811" t="s">
        <v>208</v>
      </c>
      <c r="K811">
        <f t="shared" si="12"/>
        <v>92.04</v>
      </c>
    </row>
    <row r="812" spans="1:11">
      <c r="A812">
        <v>811</v>
      </c>
      <c r="B812" s="1">
        <v>45471</v>
      </c>
      <c r="C812" t="s">
        <v>31</v>
      </c>
      <c r="D812" t="s">
        <v>11</v>
      </c>
      <c r="E812">
        <v>715.79</v>
      </c>
      <c r="F812">
        <v>4</v>
      </c>
      <c r="G812">
        <v>0.15</v>
      </c>
      <c r="H812">
        <v>0.12</v>
      </c>
      <c r="I812" t="s">
        <v>24</v>
      </c>
      <c r="J812" t="s">
        <v>145</v>
      </c>
      <c r="K812">
        <f t="shared" si="12"/>
        <v>2863.16</v>
      </c>
    </row>
    <row r="813" spans="1:11">
      <c r="A813">
        <v>812</v>
      </c>
      <c r="B813" s="1">
        <v>45292</v>
      </c>
      <c r="C813" t="s">
        <v>31</v>
      </c>
      <c r="D813" t="s">
        <v>11</v>
      </c>
      <c r="E813">
        <v>435.74</v>
      </c>
      <c r="F813">
        <v>1</v>
      </c>
      <c r="G813">
        <v>0.13</v>
      </c>
      <c r="H813">
        <v>0.35</v>
      </c>
      <c r="I813" t="s">
        <v>21</v>
      </c>
      <c r="J813" t="s">
        <v>246</v>
      </c>
      <c r="K813">
        <f t="shared" si="12"/>
        <v>435.74</v>
      </c>
    </row>
    <row r="814" spans="1:11">
      <c r="A814">
        <v>813</v>
      </c>
      <c r="B814" s="1">
        <v>45562</v>
      </c>
      <c r="C814" t="s">
        <v>26</v>
      </c>
      <c r="D814" t="s">
        <v>11</v>
      </c>
      <c r="E814">
        <v>1199.1099999999999</v>
      </c>
      <c r="F814">
        <v>3</v>
      </c>
      <c r="G814">
        <v>0.13</v>
      </c>
      <c r="H814">
        <v>0.17</v>
      </c>
      <c r="I814" t="s">
        <v>12</v>
      </c>
      <c r="J814" t="s">
        <v>79</v>
      </c>
      <c r="K814">
        <f t="shared" si="12"/>
        <v>3597.33</v>
      </c>
    </row>
    <row r="815" spans="1:11">
      <c r="A815">
        <v>814</v>
      </c>
      <c r="B815" s="1">
        <v>45363</v>
      </c>
      <c r="C815" t="s">
        <v>20</v>
      </c>
      <c r="D815" t="s">
        <v>15</v>
      </c>
      <c r="E815">
        <v>711.88</v>
      </c>
      <c r="F815">
        <v>5</v>
      </c>
      <c r="G815">
        <v>0.03</v>
      </c>
      <c r="H815">
        <v>0.28000000000000003</v>
      </c>
      <c r="I815" t="s">
        <v>16</v>
      </c>
      <c r="J815" t="s">
        <v>29</v>
      </c>
      <c r="K815">
        <f t="shared" si="12"/>
        <v>3559.4</v>
      </c>
    </row>
    <row r="816" spans="1:11">
      <c r="A816">
        <v>815</v>
      </c>
      <c r="B816" s="1">
        <v>45481</v>
      </c>
      <c r="C816" t="s">
        <v>31</v>
      </c>
      <c r="D816" t="s">
        <v>11</v>
      </c>
      <c r="E816">
        <v>1385.49</v>
      </c>
      <c r="F816">
        <v>4</v>
      </c>
      <c r="G816">
        <v>0.11</v>
      </c>
      <c r="H816">
        <v>0.34</v>
      </c>
      <c r="I816" t="s">
        <v>12</v>
      </c>
      <c r="J816" t="s">
        <v>62</v>
      </c>
      <c r="K816">
        <f t="shared" si="12"/>
        <v>5541.96</v>
      </c>
    </row>
    <row r="817" spans="1:11">
      <c r="A817">
        <v>816</v>
      </c>
      <c r="B817" s="1">
        <v>45512</v>
      </c>
      <c r="C817" t="s">
        <v>14</v>
      </c>
      <c r="D817" t="s">
        <v>15</v>
      </c>
      <c r="E817">
        <v>106.9</v>
      </c>
      <c r="F817">
        <v>3</v>
      </c>
      <c r="G817">
        <v>0.2</v>
      </c>
      <c r="H817">
        <v>0.16</v>
      </c>
      <c r="I817" t="s">
        <v>21</v>
      </c>
      <c r="J817" t="s">
        <v>123</v>
      </c>
      <c r="K817">
        <f t="shared" si="12"/>
        <v>320.70000000000005</v>
      </c>
    </row>
    <row r="818" spans="1:11">
      <c r="A818">
        <v>817</v>
      </c>
      <c r="B818" s="1">
        <v>45601</v>
      </c>
      <c r="C818" t="s">
        <v>31</v>
      </c>
      <c r="D818" t="s">
        <v>11</v>
      </c>
      <c r="E818">
        <v>1288.33</v>
      </c>
      <c r="F818">
        <v>2</v>
      </c>
      <c r="G818">
        <v>0.1</v>
      </c>
      <c r="H818">
        <v>0.32</v>
      </c>
      <c r="I818" t="s">
        <v>24</v>
      </c>
      <c r="J818" t="s">
        <v>112</v>
      </c>
      <c r="K818">
        <f t="shared" si="12"/>
        <v>2576.66</v>
      </c>
    </row>
    <row r="819" spans="1:11">
      <c r="A819">
        <v>818</v>
      </c>
      <c r="B819" s="1">
        <v>45596</v>
      </c>
      <c r="C819" t="s">
        <v>26</v>
      </c>
      <c r="D819" t="s">
        <v>11</v>
      </c>
      <c r="E819">
        <v>154.13</v>
      </c>
      <c r="F819">
        <v>1</v>
      </c>
      <c r="G819">
        <v>7.0000000000000007E-2</v>
      </c>
      <c r="H819">
        <v>0.2</v>
      </c>
      <c r="I819" t="s">
        <v>12</v>
      </c>
      <c r="J819" t="s">
        <v>183</v>
      </c>
      <c r="K819">
        <f t="shared" si="12"/>
        <v>154.13</v>
      </c>
    </row>
    <row r="820" spans="1:11">
      <c r="A820">
        <v>819</v>
      </c>
      <c r="B820" s="1">
        <v>45447</v>
      </c>
      <c r="C820" t="s">
        <v>31</v>
      </c>
      <c r="D820" t="s">
        <v>11</v>
      </c>
      <c r="E820">
        <v>515</v>
      </c>
      <c r="F820">
        <v>2</v>
      </c>
      <c r="G820">
        <v>0.2</v>
      </c>
      <c r="H820">
        <v>0.38</v>
      </c>
      <c r="I820" t="s">
        <v>21</v>
      </c>
      <c r="J820" t="s">
        <v>246</v>
      </c>
      <c r="K820">
        <f t="shared" si="12"/>
        <v>1030</v>
      </c>
    </row>
    <row r="821" spans="1:11">
      <c r="A821">
        <v>820</v>
      </c>
      <c r="B821" s="1">
        <v>45329</v>
      </c>
      <c r="C821" t="s">
        <v>26</v>
      </c>
      <c r="D821" t="s">
        <v>11</v>
      </c>
      <c r="E821">
        <v>906.01</v>
      </c>
      <c r="F821">
        <v>3</v>
      </c>
      <c r="G821">
        <v>0.06</v>
      </c>
      <c r="H821">
        <v>0.19</v>
      </c>
      <c r="I821" t="s">
        <v>24</v>
      </c>
      <c r="J821" t="s">
        <v>42</v>
      </c>
      <c r="K821">
        <f t="shared" si="12"/>
        <v>2718.0299999999997</v>
      </c>
    </row>
    <row r="822" spans="1:11">
      <c r="A822">
        <v>821</v>
      </c>
      <c r="B822" s="1">
        <v>45468</v>
      </c>
      <c r="C822" t="s">
        <v>23</v>
      </c>
      <c r="D822" t="s">
        <v>15</v>
      </c>
      <c r="E822">
        <v>1422.06</v>
      </c>
      <c r="F822">
        <v>3</v>
      </c>
      <c r="G822">
        <v>0.15</v>
      </c>
      <c r="H822">
        <v>0.21</v>
      </c>
      <c r="I822" t="s">
        <v>16</v>
      </c>
      <c r="J822" t="s">
        <v>92</v>
      </c>
      <c r="K822">
        <f t="shared" si="12"/>
        <v>4266.18</v>
      </c>
    </row>
    <row r="823" spans="1:11">
      <c r="A823">
        <v>822</v>
      </c>
      <c r="B823" s="1">
        <v>45396</v>
      </c>
      <c r="C823" t="s">
        <v>26</v>
      </c>
      <c r="D823" t="s">
        <v>11</v>
      </c>
      <c r="E823">
        <v>440.38</v>
      </c>
      <c r="F823">
        <v>2</v>
      </c>
      <c r="G823">
        <v>0.14000000000000001</v>
      </c>
      <c r="H823">
        <v>0.3</v>
      </c>
      <c r="I823" t="s">
        <v>16</v>
      </c>
      <c r="J823" t="s">
        <v>172</v>
      </c>
      <c r="K823">
        <f t="shared" si="12"/>
        <v>880.76</v>
      </c>
    </row>
    <row r="824" spans="1:11">
      <c r="A824">
        <v>823</v>
      </c>
      <c r="B824" s="1">
        <v>45646</v>
      </c>
      <c r="C824" t="s">
        <v>20</v>
      </c>
      <c r="D824" t="s">
        <v>15</v>
      </c>
      <c r="E824">
        <v>536.66</v>
      </c>
      <c r="F824">
        <v>4</v>
      </c>
      <c r="G824">
        <v>0.3</v>
      </c>
      <c r="H824">
        <v>0.19</v>
      </c>
      <c r="I824" t="s">
        <v>24</v>
      </c>
      <c r="J824" t="s">
        <v>251</v>
      </c>
      <c r="K824">
        <f t="shared" si="12"/>
        <v>2146.64</v>
      </c>
    </row>
    <row r="825" spans="1:11">
      <c r="A825">
        <v>824</v>
      </c>
      <c r="B825" s="1">
        <v>45595</v>
      </c>
      <c r="C825" t="s">
        <v>14</v>
      </c>
      <c r="D825" t="s">
        <v>15</v>
      </c>
      <c r="E825">
        <v>234.83</v>
      </c>
      <c r="F825">
        <v>3</v>
      </c>
      <c r="G825">
        <v>0.25</v>
      </c>
      <c r="H825">
        <v>0.13</v>
      </c>
      <c r="I825" t="s">
        <v>24</v>
      </c>
      <c r="J825" t="s">
        <v>190</v>
      </c>
      <c r="K825">
        <f t="shared" si="12"/>
        <v>704.49</v>
      </c>
    </row>
    <row r="826" spans="1:11">
      <c r="A826">
        <v>825</v>
      </c>
      <c r="B826" s="1">
        <v>45428</v>
      </c>
      <c r="C826" t="s">
        <v>20</v>
      </c>
      <c r="D826" t="s">
        <v>15</v>
      </c>
      <c r="E826">
        <v>1255.99</v>
      </c>
      <c r="F826">
        <v>4</v>
      </c>
      <c r="G826">
        <v>0.06</v>
      </c>
      <c r="H826">
        <v>0.21</v>
      </c>
      <c r="I826" t="s">
        <v>21</v>
      </c>
      <c r="J826" t="s">
        <v>252</v>
      </c>
      <c r="K826">
        <f t="shared" si="12"/>
        <v>5023.96</v>
      </c>
    </row>
    <row r="827" spans="1:11">
      <c r="A827">
        <v>826</v>
      </c>
      <c r="B827" s="1">
        <v>45528</v>
      </c>
      <c r="C827" t="s">
        <v>23</v>
      </c>
      <c r="D827" t="s">
        <v>15</v>
      </c>
      <c r="E827">
        <v>378.98</v>
      </c>
      <c r="F827">
        <v>4</v>
      </c>
      <c r="G827">
        <v>0.08</v>
      </c>
      <c r="H827">
        <v>0.2</v>
      </c>
      <c r="I827" t="s">
        <v>12</v>
      </c>
      <c r="J827" t="s">
        <v>167</v>
      </c>
      <c r="K827">
        <f t="shared" si="12"/>
        <v>1515.92</v>
      </c>
    </row>
    <row r="828" spans="1:11">
      <c r="A828">
        <v>827</v>
      </c>
      <c r="B828" s="1">
        <v>45409</v>
      </c>
      <c r="C828" t="s">
        <v>10</v>
      </c>
      <c r="D828" t="s">
        <v>11</v>
      </c>
      <c r="E828">
        <v>683.9</v>
      </c>
      <c r="F828">
        <v>2</v>
      </c>
      <c r="G828">
        <v>0.06</v>
      </c>
      <c r="H828">
        <v>0.1</v>
      </c>
      <c r="I828" t="s">
        <v>12</v>
      </c>
      <c r="J828" t="s">
        <v>74</v>
      </c>
      <c r="K828">
        <f t="shared" si="12"/>
        <v>1367.8</v>
      </c>
    </row>
    <row r="829" spans="1:11">
      <c r="A829">
        <v>828</v>
      </c>
      <c r="B829" s="1">
        <v>45502</v>
      </c>
      <c r="C829" t="s">
        <v>10</v>
      </c>
      <c r="D829" t="s">
        <v>11</v>
      </c>
      <c r="E829">
        <v>1001.32</v>
      </c>
      <c r="F829">
        <v>2</v>
      </c>
      <c r="G829">
        <v>0.19</v>
      </c>
      <c r="H829">
        <v>0.18</v>
      </c>
      <c r="I829" t="s">
        <v>24</v>
      </c>
      <c r="J829" t="s">
        <v>33</v>
      </c>
      <c r="K829">
        <f t="shared" si="12"/>
        <v>2002.64</v>
      </c>
    </row>
    <row r="830" spans="1:11">
      <c r="A830">
        <v>829</v>
      </c>
      <c r="B830" s="1">
        <v>45404</v>
      </c>
      <c r="C830" t="s">
        <v>14</v>
      </c>
      <c r="D830" t="s">
        <v>15</v>
      </c>
      <c r="E830">
        <v>1358.93</v>
      </c>
      <c r="F830">
        <v>5</v>
      </c>
      <c r="G830">
        <v>0.03</v>
      </c>
      <c r="H830">
        <v>0.38</v>
      </c>
      <c r="I830" t="s">
        <v>12</v>
      </c>
      <c r="J830" t="s">
        <v>278</v>
      </c>
      <c r="K830">
        <f t="shared" si="12"/>
        <v>6794.6500000000005</v>
      </c>
    </row>
    <row r="831" spans="1:11">
      <c r="A831">
        <v>830</v>
      </c>
      <c r="B831" s="1">
        <v>45466</v>
      </c>
      <c r="C831" t="s">
        <v>23</v>
      </c>
      <c r="D831" t="s">
        <v>15</v>
      </c>
      <c r="E831">
        <v>35.14</v>
      </c>
      <c r="F831">
        <v>4</v>
      </c>
      <c r="G831">
        <v>0.26</v>
      </c>
      <c r="H831">
        <v>0.17</v>
      </c>
      <c r="I831" t="s">
        <v>21</v>
      </c>
      <c r="J831" t="s">
        <v>132</v>
      </c>
      <c r="K831">
        <f t="shared" si="12"/>
        <v>140.56</v>
      </c>
    </row>
    <row r="832" spans="1:11">
      <c r="A832">
        <v>831</v>
      </c>
      <c r="B832" s="1">
        <v>45378</v>
      </c>
      <c r="C832" t="s">
        <v>23</v>
      </c>
      <c r="D832" t="s">
        <v>15</v>
      </c>
      <c r="E832">
        <v>618.54999999999995</v>
      </c>
      <c r="F832">
        <v>2</v>
      </c>
      <c r="G832">
        <v>0.27</v>
      </c>
      <c r="H832">
        <v>0.37</v>
      </c>
      <c r="I832" t="s">
        <v>12</v>
      </c>
      <c r="J832" t="s">
        <v>116</v>
      </c>
      <c r="K832">
        <f t="shared" si="12"/>
        <v>1237.0999999999999</v>
      </c>
    </row>
    <row r="833" spans="1:11">
      <c r="A833">
        <v>832</v>
      </c>
      <c r="B833" s="1">
        <v>45440</v>
      </c>
      <c r="C833" t="s">
        <v>14</v>
      </c>
      <c r="D833" t="s">
        <v>15</v>
      </c>
      <c r="E833">
        <v>465.81</v>
      </c>
      <c r="F833">
        <v>1</v>
      </c>
      <c r="G833">
        <v>0.13</v>
      </c>
      <c r="H833">
        <v>0.32</v>
      </c>
      <c r="I833" t="s">
        <v>21</v>
      </c>
      <c r="J833" t="s">
        <v>65</v>
      </c>
      <c r="K833">
        <f t="shared" si="12"/>
        <v>465.81</v>
      </c>
    </row>
    <row r="834" spans="1:11">
      <c r="A834">
        <v>833</v>
      </c>
      <c r="B834" s="1">
        <v>45585</v>
      </c>
      <c r="C834" t="s">
        <v>23</v>
      </c>
      <c r="D834" t="s">
        <v>15</v>
      </c>
      <c r="E834">
        <v>659.19</v>
      </c>
      <c r="F834">
        <v>1</v>
      </c>
      <c r="G834">
        <v>0.25</v>
      </c>
      <c r="H834">
        <v>0.15</v>
      </c>
      <c r="I834" t="s">
        <v>21</v>
      </c>
      <c r="J834" t="s">
        <v>243</v>
      </c>
      <c r="K834">
        <f t="shared" si="12"/>
        <v>659.19</v>
      </c>
    </row>
    <row r="835" spans="1:11">
      <c r="A835">
        <v>834</v>
      </c>
      <c r="B835" s="1">
        <v>45593</v>
      </c>
      <c r="C835" t="s">
        <v>20</v>
      </c>
      <c r="D835" t="s">
        <v>15</v>
      </c>
      <c r="E835">
        <v>1031.18</v>
      </c>
      <c r="F835">
        <v>2</v>
      </c>
      <c r="G835">
        <v>0.09</v>
      </c>
      <c r="H835">
        <v>0.28000000000000003</v>
      </c>
      <c r="I835" t="s">
        <v>21</v>
      </c>
      <c r="J835" t="s">
        <v>308</v>
      </c>
      <c r="K835">
        <f t="shared" si="12"/>
        <v>2062.36</v>
      </c>
    </row>
    <row r="836" spans="1:11">
      <c r="A836">
        <v>835</v>
      </c>
      <c r="B836" s="1">
        <v>45654</v>
      </c>
      <c r="C836" t="s">
        <v>26</v>
      </c>
      <c r="D836" t="s">
        <v>11</v>
      </c>
      <c r="E836">
        <v>957.55</v>
      </c>
      <c r="F836">
        <v>1</v>
      </c>
      <c r="G836">
        <v>0.12</v>
      </c>
      <c r="H836">
        <v>0.21</v>
      </c>
      <c r="I836" t="s">
        <v>16</v>
      </c>
      <c r="J836" t="s">
        <v>154</v>
      </c>
      <c r="K836">
        <f t="shared" ref="K836:K899" si="13">E836*F836</f>
        <v>957.55</v>
      </c>
    </row>
    <row r="837" spans="1:11">
      <c r="A837">
        <v>836</v>
      </c>
      <c r="B837" s="1">
        <v>45518</v>
      </c>
      <c r="C837" t="s">
        <v>23</v>
      </c>
      <c r="D837" t="s">
        <v>15</v>
      </c>
      <c r="E837">
        <v>532.34</v>
      </c>
      <c r="F837">
        <v>4</v>
      </c>
      <c r="G837">
        <v>0.17</v>
      </c>
      <c r="H837">
        <v>0.13</v>
      </c>
      <c r="I837" t="s">
        <v>21</v>
      </c>
      <c r="J837" t="s">
        <v>148</v>
      </c>
      <c r="K837">
        <f t="shared" si="13"/>
        <v>2129.36</v>
      </c>
    </row>
    <row r="838" spans="1:11">
      <c r="A838">
        <v>837</v>
      </c>
      <c r="B838" s="1">
        <v>45471</v>
      </c>
      <c r="C838" t="s">
        <v>10</v>
      </c>
      <c r="D838" t="s">
        <v>11</v>
      </c>
      <c r="E838">
        <v>860.74</v>
      </c>
      <c r="F838">
        <v>3</v>
      </c>
      <c r="G838">
        <v>0.12</v>
      </c>
      <c r="H838">
        <v>0.27</v>
      </c>
      <c r="I838" t="s">
        <v>12</v>
      </c>
      <c r="J838" t="s">
        <v>43</v>
      </c>
      <c r="K838">
        <f t="shared" si="13"/>
        <v>2582.2200000000003</v>
      </c>
    </row>
    <row r="839" spans="1:11">
      <c r="A839">
        <v>838</v>
      </c>
      <c r="B839" s="1">
        <v>45528</v>
      </c>
      <c r="C839" t="s">
        <v>26</v>
      </c>
      <c r="D839" t="s">
        <v>11</v>
      </c>
      <c r="E839">
        <v>40.950000000000003</v>
      </c>
      <c r="F839">
        <v>3</v>
      </c>
      <c r="G839">
        <v>0.24</v>
      </c>
      <c r="H839">
        <v>0.13</v>
      </c>
      <c r="I839" t="s">
        <v>16</v>
      </c>
      <c r="J839" t="s">
        <v>212</v>
      </c>
      <c r="K839">
        <f t="shared" si="13"/>
        <v>122.85000000000001</v>
      </c>
    </row>
    <row r="840" spans="1:11">
      <c r="A840">
        <v>839</v>
      </c>
      <c r="B840" s="1">
        <v>45640</v>
      </c>
      <c r="C840" t="s">
        <v>26</v>
      </c>
      <c r="D840" t="s">
        <v>11</v>
      </c>
      <c r="E840">
        <v>136.6</v>
      </c>
      <c r="F840">
        <v>5</v>
      </c>
      <c r="G840">
        <v>0.04</v>
      </c>
      <c r="H840">
        <v>0.39</v>
      </c>
      <c r="I840" t="s">
        <v>12</v>
      </c>
      <c r="J840" t="s">
        <v>161</v>
      </c>
      <c r="K840">
        <f t="shared" si="13"/>
        <v>683</v>
      </c>
    </row>
    <row r="841" spans="1:11">
      <c r="A841">
        <v>840</v>
      </c>
      <c r="B841" s="1">
        <v>45479</v>
      </c>
      <c r="C841" t="s">
        <v>14</v>
      </c>
      <c r="D841" t="s">
        <v>15</v>
      </c>
      <c r="E841">
        <v>358.76</v>
      </c>
      <c r="F841">
        <v>3</v>
      </c>
      <c r="G841">
        <v>0.18</v>
      </c>
      <c r="H841">
        <v>0.32</v>
      </c>
      <c r="I841" t="s">
        <v>21</v>
      </c>
      <c r="J841" t="s">
        <v>106</v>
      </c>
      <c r="K841">
        <f t="shared" si="13"/>
        <v>1076.28</v>
      </c>
    </row>
    <row r="842" spans="1:11">
      <c r="A842">
        <v>841</v>
      </c>
      <c r="B842" s="1">
        <v>45381</v>
      </c>
      <c r="C842" t="s">
        <v>23</v>
      </c>
      <c r="D842" t="s">
        <v>15</v>
      </c>
      <c r="E842">
        <v>934.99</v>
      </c>
      <c r="F842">
        <v>3</v>
      </c>
      <c r="G842">
        <v>0.16</v>
      </c>
      <c r="H842">
        <v>0.13</v>
      </c>
      <c r="I842" t="s">
        <v>24</v>
      </c>
      <c r="J842" t="s">
        <v>102</v>
      </c>
      <c r="K842">
        <f t="shared" si="13"/>
        <v>2804.9700000000003</v>
      </c>
    </row>
    <row r="843" spans="1:11">
      <c r="A843">
        <v>842</v>
      </c>
      <c r="B843" s="1">
        <v>45385</v>
      </c>
      <c r="C843" t="s">
        <v>14</v>
      </c>
      <c r="D843" t="s">
        <v>15</v>
      </c>
      <c r="E843">
        <v>1189.5</v>
      </c>
      <c r="F843">
        <v>5</v>
      </c>
      <c r="G843">
        <v>7.0000000000000007E-2</v>
      </c>
      <c r="H843">
        <v>0.23</v>
      </c>
      <c r="I843" t="s">
        <v>16</v>
      </c>
      <c r="J843" t="s">
        <v>96</v>
      </c>
      <c r="K843">
        <f t="shared" si="13"/>
        <v>5947.5</v>
      </c>
    </row>
    <row r="844" spans="1:11">
      <c r="A844">
        <v>843</v>
      </c>
      <c r="B844" s="1">
        <v>45538</v>
      </c>
      <c r="C844" t="s">
        <v>31</v>
      </c>
      <c r="D844" t="s">
        <v>11</v>
      </c>
      <c r="E844">
        <v>408.01</v>
      </c>
      <c r="F844">
        <v>2</v>
      </c>
      <c r="G844">
        <v>0.13</v>
      </c>
      <c r="H844">
        <v>0.2</v>
      </c>
      <c r="I844" t="s">
        <v>24</v>
      </c>
      <c r="J844" t="s">
        <v>67</v>
      </c>
      <c r="K844">
        <f t="shared" si="13"/>
        <v>816.02</v>
      </c>
    </row>
    <row r="845" spans="1:11">
      <c r="A845">
        <v>844</v>
      </c>
      <c r="B845" s="1">
        <v>45331</v>
      </c>
      <c r="C845" t="s">
        <v>20</v>
      </c>
      <c r="D845" t="s">
        <v>15</v>
      </c>
      <c r="E845">
        <v>195.66</v>
      </c>
      <c r="F845">
        <v>1</v>
      </c>
      <c r="G845">
        <v>0.21</v>
      </c>
      <c r="H845">
        <v>0.24</v>
      </c>
      <c r="I845" t="s">
        <v>21</v>
      </c>
      <c r="J845" t="s">
        <v>96</v>
      </c>
      <c r="K845">
        <f t="shared" si="13"/>
        <v>195.66</v>
      </c>
    </row>
    <row r="846" spans="1:11">
      <c r="A846">
        <v>845</v>
      </c>
      <c r="B846" s="1">
        <v>45473</v>
      </c>
      <c r="C846" t="s">
        <v>14</v>
      </c>
      <c r="D846" t="s">
        <v>15</v>
      </c>
      <c r="E846">
        <v>1484.41</v>
      </c>
      <c r="F846">
        <v>1</v>
      </c>
      <c r="G846">
        <v>0.08</v>
      </c>
      <c r="H846">
        <v>0.27</v>
      </c>
      <c r="I846" t="s">
        <v>16</v>
      </c>
      <c r="J846" t="s">
        <v>154</v>
      </c>
      <c r="K846">
        <f t="shared" si="13"/>
        <v>1484.41</v>
      </c>
    </row>
    <row r="847" spans="1:11">
      <c r="A847">
        <v>846</v>
      </c>
      <c r="B847" s="1">
        <v>45499</v>
      </c>
      <c r="C847" t="s">
        <v>20</v>
      </c>
      <c r="D847" t="s">
        <v>15</v>
      </c>
      <c r="E847">
        <v>1349.17</v>
      </c>
      <c r="F847">
        <v>1</v>
      </c>
      <c r="G847">
        <v>0.02</v>
      </c>
      <c r="H847">
        <v>0.37</v>
      </c>
      <c r="I847" t="s">
        <v>24</v>
      </c>
      <c r="J847" t="s">
        <v>309</v>
      </c>
      <c r="K847">
        <f t="shared" si="13"/>
        <v>1349.17</v>
      </c>
    </row>
    <row r="848" spans="1:11">
      <c r="A848">
        <v>847</v>
      </c>
      <c r="B848" s="1">
        <v>45436</v>
      </c>
      <c r="C848" t="s">
        <v>31</v>
      </c>
      <c r="D848" t="s">
        <v>11</v>
      </c>
      <c r="E848">
        <v>559.78</v>
      </c>
      <c r="F848">
        <v>1</v>
      </c>
      <c r="G848">
        <v>0.1</v>
      </c>
      <c r="H848">
        <v>0.16</v>
      </c>
      <c r="I848" t="s">
        <v>24</v>
      </c>
      <c r="J848" t="s">
        <v>90</v>
      </c>
      <c r="K848">
        <f t="shared" si="13"/>
        <v>559.78</v>
      </c>
    </row>
    <row r="849" spans="1:11">
      <c r="A849">
        <v>848</v>
      </c>
      <c r="B849" s="1">
        <v>45530</v>
      </c>
      <c r="C849" t="s">
        <v>26</v>
      </c>
      <c r="D849" t="s">
        <v>11</v>
      </c>
      <c r="E849">
        <v>1256.02</v>
      </c>
      <c r="F849">
        <v>5</v>
      </c>
      <c r="G849">
        <v>0.25</v>
      </c>
      <c r="H849">
        <v>0.17</v>
      </c>
      <c r="I849" t="s">
        <v>12</v>
      </c>
      <c r="J849" t="s">
        <v>295</v>
      </c>
      <c r="K849">
        <f t="shared" si="13"/>
        <v>6280.1</v>
      </c>
    </row>
    <row r="850" spans="1:11">
      <c r="A850">
        <v>849</v>
      </c>
      <c r="B850" s="1">
        <v>45536</v>
      </c>
      <c r="C850" t="s">
        <v>20</v>
      </c>
      <c r="D850" t="s">
        <v>15</v>
      </c>
      <c r="E850">
        <v>230.91</v>
      </c>
      <c r="F850">
        <v>5</v>
      </c>
      <c r="G850">
        <v>0.12</v>
      </c>
      <c r="H850">
        <v>0.24</v>
      </c>
      <c r="I850" t="s">
        <v>21</v>
      </c>
      <c r="J850" t="s">
        <v>99</v>
      </c>
      <c r="K850">
        <f t="shared" si="13"/>
        <v>1154.55</v>
      </c>
    </row>
    <row r="851" spans="1:11">
      <c r="A851">
        <v>850</v>
      </c>
      <c r="B851" s="1">
        <v>45596</v>
      </c>
      <c r="C851" t="s">
        <v>20</v>
      </c>
      <c r="D851" t="s">
        <v>15</v>
      </c>
      <c r="E851">
        <v>326.26</v>
      </c>
      <c r="F851">
        <v>4</v>
      </c>
      <c r="G851">
        <v>0.04</v>
      </c>
      <c r="H851">
        <v>0.38</v>
      </c>
      <c r="I851" t="s">
        <v>24</v>
      </c>
      <c r="J851" t="s">
        <v>191</v>
      </c>
      <c r="K851">
        <f t="shared" si="13"/>
        <v>1305.04</v>
      </c>
    </row>
    <row r="852" spans="1:11">
      <c r="A852">
        <v>851</v>
      </c>
      <c r="B852" s="1">
        <v>45311</v>
      </c>
      <c r="C852" t="s">
        <v>20</v>
      </c>
      <c r="D852" t="s">
        <v>15</v>
      </c>
      <c r="E852">
        <v>645.62</v>
      </c>
      <c r="F852">
        <v>2</v>
      </c>
      <c r="G852">
        <v>0.01</v>
      </c>
      <c r="H852">
        <v>0.24</v>
      </c>
      <c r="I852" t="s">
        <v>12</v>
      </c>
      <c r="J852" t="s">
        <v>306</v>
      </c>
      <c r="K852">
        <f t="shared" si="13"/>
        <v>1291.24</v>
      </c>
    </row>
    <row r="853" spans="1:11">
      <c r="A853">
        <v>852</v>
      </c>
      <c r="B853" s="1">
        <v>45564</v>
      </c>
      <c r="C853" t="s">
        <v>10</v>
      </c>
      <c r="D853" t="s">
        <v>11</v>
      </c>
      <c r="E853">
        <v>393.41</v>
      </c>
      <c r="F853">
        <v>3</v>
      </c>
      <c r="G853">
        <v>0.2</v>
      </c>
      <c r="H853">
        <v>0.39</v>
      </c>
      <c r="I853" t="s">
        <v>16</v>
      </c>
      <c r="J853" t="s">
        <v>127</v>
      </c>
      <c r="K853">
        <f t="shared" si="13"/>
        <v>1180.23</v>
      </c>
    </row>
    <row r="854" spans="1:11">
      <c r="A854">
        <v>853</v>
      </c>
      <c r="B854" s="1">
        <v>45310</v>
      </c>
      <c r="C854" t="s">
        <v>31</v>
      </c>
      <c r="D854" t="s">
        <v>11</v>
      </c>
      <c r="E854">
        <v>1393.95</v>
      </c>
      <c r="F854">
        <v>5</v>
      </c>
      <c r="G854">
        <v>7.0000000000000007E-2</v>
      </c>
      <c r="H854">
        <v>0.17</v>
      </c>
      <c r="I854" t="s">
        <v>12</v>
      </c>
      <c r="J854" t="s">
        <v>165</v>
      </c>
      <c r="K854">
        <f t="shared" si="13"/>
        <v>6969.75</v>
      </c>
    </row>
    <row r="855" spans="1:11">
      <c r="A855">
        <v>854</v>
      </c>
      <c r="B855" s="1">
        <v>45391</v>
      </c>
      <c r="C855" t="s">
        <v>20</v>
      </c>
      <c r="D855" t="s">
        <v>15</v>
      </c>
      <c r="E855">
        <v>1166.02</v>
      </c>
      <c r="F855">
        <v>4</v>
      </c>
      <c r="G855">
        <v>0.21</v>
      </c>
      <c r="H855">
        <v>0.28999999999999998</v>
      </c>
      <c r="I855" t="s">
        <v>21</v>
      </c>
      <c r="J855" t="s">
        <v>125</v>
      </c>
      <c r="K855">
        <f t="shared" si="13"/>
        <v>4664.08</v>
      </c>
    </row>
    <row r="856" spans="1:11">
      <c r="A856">
        <v>855</v>
      </c>
      <c r="B856" s="1">
        <v>45608</v>
      </c>
      <c r="C856" t="s">
        <v>20</v>
      </c>
      <c r="D856" t="s">
        <v>15</v>
      </c>
      <c r="E856">
        <v>1030</v>
      </c>
      <c r="F856">
        <v>2</v>
      </c>
      <c r="G856">
        <v>0.25</v>
      </c>
      <c r="H856">
        <v>0.34</v>
      </c>
      <c r="I856" t="s">
        <v>16</v>
      </c>
      <c r="J856" t="s">
        <v>310</v>
      </c>
      <c r="K856">
        <f t="shared" si="13"/>
        <v>2060</v>
      </c>
    </row>
    <row r="857" spans="1:11">
      <c r="A857">
        <v>856</v>
      </c>
      <c r="B857" s="1">
        <v>45455</v>
      </c>
      <c r="C857" t="s">
        <v>31</v>
      </c>
      <c r="D857" t="s">
        <v>11</v>
      </c>
      <c r="E857">
        <v>671.31</v>
      </c>
      <c r="F857">
        <v>3</v>
      </c>
      <c r="G857">
        <v>0.28999999999999998</v>
      </c>
      <c r="H857">
        <v>0.23</v>
      </c>
      <c r="I857" t="s">
        <v>24</v>
      </c>
      <c r="J857" t="s">
        <v>300</v>
      </c>
      <c r="K857">
        <f t="shared" si="13"/>
        <v>2013.9299999999998</v>
      </c>
    </row>
    <row r="858" spans="1:11">
      <c r="A858">
        <v>857</v>
      </c>
      <c r="B858" s="1">
        <v>45530</v>
      </c>
      <c r="C858" t="s">
        <v>10</v>
      </c>
      <c r="D858" t="s">
        <v>11</v>
      </c>
      <c r="E858">
        <v>634.42999999999995</v>
      </c>
      <c r="F858">
        <v>2</v>
      </c>
      <c r="G858">
        <v>0.16</v>
      </c>
      <c r="H858">
        <v>0.18</v>
      </c>
      <c r="I858" t="s">
        <v>16</v>
      </c>
      <c r="J858" t="s">
        <v>212</v>
      </c>
      <c r="K858">
        <f t="shared" si="13"/>
        <v>1268.8599999999999</v>
      </c>
    </row>
    <row r="859" spans="1:11">
      <c r="A859">
        <v>858</v>
      </c>
      <c r="B859" s="1">
        <v>45637</v>
      </c>
      <c r="C859" t="s">
        <v>26</v>
      </c>
      <c r="D859" t="s">
        <v>11</v>
      </c>
      <c r="E859">
        <v>449.81</v>
      </c>
      <c r="F859">
        <v>3</v>
      </c>
      <c r="G859">
        <v>0.01</v>
      </c>
      <c r="H859">
        <v>0.37</v>
      </c>
      <c r="I859" t="s">
        <v>21</v>
      </c>
      <c r="J859" t="s">
        <v>292</v>
      </c>
      <c r="K859">
        <f t="shared" si="13"/>
        <v>1349.43</v>
      </c>
    </row>
    <row r="860" spans="1:11">
      <c r="A860">
        <v>859</v>
      </c>
      <c r="B860" s="1">
        <v>45427</v>
      </c>
      <c r="C860" t="s">
        <v>10</v>
      </c>
      <c r="D860" t="s">
        <v>11</v>
      </c>
      <c r="E860">
        <v>273.10000000000002</v>
      </c>
      <c r="F860">
        <v>5</v>
      </c>
      <c r="G860">
        <v>0.21</v>
      </c>
      <c r="H860">
        <v>0.13</v>
      </c>
      <c r="I860" t="s">
        <v>21</v>
      </c>
      <c r="J860" t="s">
        <v>224</v>
      </c>
      <c r="K860">
        <f t="shared" si="13"/>
        <v>1365.5</v>
      </c>
    </row>
    <row r="861" spans="1:11">
      <c r="A861">
        <v>860</v>
      </c>
      <c r="B861" s="1">
        <v>45555</v>
      </c>
      <c r="C861" t="s">
        <v>26</v>
      </c>
      <c r="D861" t="s">
        <v>11</v>
      </c>
      <c r="E861">
        <v>766.08</v>
      </c>
      <c r="F861">
        <v>3</v>
      </c>
      <c r="G861">
        <v>0.08</v>
      </c>
      <c r="H861">
        <v>0.19</v>
      </c>
      <c r="I861" t="s">
        <v>16</v>
      </c>
      <c r="J861" t="s">
        <v>109</v>
      </c>
      <c r="K861">
        <f t="shared" si="13"/>
        <v>2298.2400000000002</v>
      </c>
    </row>
    <row r="862" spans="1:11">
      <c r="A862">
        <v>861</v>
      </c>
      <c r="B862" s="1">
        <v>45604</v>
      </c>
      <c r="C862" t="s">
        <v>10</v>
      </c>
      <c r="D862" t="s">
        <v>11</v>
      </c>
      <c r="E862">
        <v>99.07</v>
      </c>
      <c r="F862">
        <v>4</v>
      </c>
      <c r="G862">
        <v>0.27</v>
      </c>
      <c r="H862">
        <v>0.28999999999999998</v>
      </c>
      <c r="I862" t="s">
        <v>16</v>
      </c>
      <c r="J862" t="s">
        <v>215</v>
      </c>
      <c r="K862">
        <f t="shared" si="13"/>
        <v>396.28</v>
      </c>
    </row>
    <row r="863" spans="1:11">
      <c r="A863">
        <v>862</v>
      </c>
      <c r="B863" s="1">
        <v>45512</v>
      </c>
      <c r="C863" t="s">
        <v>31</v>
      </c>
      <c r="D863" t="s">
        <v>11</v>
      </c>
      <c r="E863">
        <v>446.41</v>
      </c>
      <c r="F863">
        <v>2</v>
      </c>
      <c r="G863">
        <v>0.09</v>
      </c>
      <c r="H863">
        <v>0.11</v>
      </c>
      <c r="I863" t="s">
        <v>21</v>
      </c>
      <c r="J863" t="s">
        <v>43</v>
      </c>
      <c r="K863">
        <f t="shared" si="13"/>
        <v>892.82</v>
      </c>
    </row>
    <row r="864" spans="1:11">
      <c r="A864">
        <v>863</v>
      </c>
      <c r="B864" s="1">
        <v>45641</v>
      </c>
      <c r="C864" t="s">
        <v>31</v>
      </c>
      <c r="D864" t="s">
        <v>11</v>
      </c>
      <c r="E864">
        <v>612.39</v>
      </c>
      <c r="F864">
        <v>2</v>
      </c>
      <c r="G864">
        <v>0.25</v>
      </c>
      <c r="H864">
        <v>0.14000000000000001</v>
      </c>
      <c r="I864" t="s">
        <v>12</v>
      </c>
      <c r="J864" t="s">
        <v>309</v>
      </c>
      <c r="K864">
        <f t="shared" si="13"/>
        <v>1224.78</v>
      </c>
    </row>
    <row r="865" spans="1:11">
      <c r="A865">
        <v>864</v>
      </c>
      <c r="B865" s="1">
        <v>45384</v>
      </c>
      <c r="C865" t="s">
        <v>10</v>
      </c>
      <c r="D865" t="s">
        <v>11</v>
      </c>
      <c r="E865">
        <v>821.94</v>
      </c>
      <c r="F865">
        <v>2</v>
      </c>
      <c r="G865">
        <v>7.0000000000000007E-2</v>
      </c>
      <c r="H865">
        <v>0.13</v>
      </c>
      <c r="I865" t="s">
        <v>21</v>
      </c>
      <c r="J865" t="s">
        <v>88</v>
      </c>
      <c r="K865">
        <f t="shared" si="13"/>
        <v>1643.88</v>
      </c>
    </row>
    <row r="866" spans="1:11">
      <c r="A866">
        <v>865</v>
      </c>
      <c r="B866" s="1">
        <v>45387</v>
      </c>
      <c r="C866" t="s">
        <v>14</v>
      </c>
      <c r="D866" t="s">
        <v>15</v>
      </c>
      <c r="E866">
        <v>1374.71</v>
      </c>
      <c r="F866">
        <v>2</v>
      </c>
      <c r="G866">
        <v>0.25</v>
      </c>
      <c r="H866">
        <v>0.25</v>
      </c>
      <c r="I866" t="s">
        <v>24</v>
      </c>
      <c r="J866" t="s">
        <v>191</v>
      </c>
      <c r="K866">
        <f t="shared" si="13"/>
        <v>2749.42</v>
      </c>
    </row>
    <row r="867" spans="1:11">
      <c r="A867">
        <v>866</v>
      </c>
      <c r="B867" s="1">
        <v>45614</v>
      </c>
      <c r="C867" t="s">
        <v>23</v>
      </c>
      <c r="D867" t="s">
        <v>15</v>
      </c>
      <c r="E867">
        <v>429.72</v>
      </c>
      <c r="F867">
        <v>2</v>
      </c>
      <c r="G867">
        <v>0.17</v>
      </c>
      <c r="H867">
        <v>0.2</v>
      </c>
      <c r="I867" t="s">
        <v>24</v>
      </c>
      <c r="J867" t="s">
        <v>169</v>
      </c>
      <c r="K867">
        <f t="shared" si="13"/>
        <v>859.44</v>
      </c>
    </row>
    <row r="868" spans="1:11">
      <c r="A868">
        <v>867</v>
      </c>
      <c r="B868" s="1">
        <v>45628</v>
      </c>
      <c r="C868" t="s">
        <v>23</v>
      </c>
      <c r="D868" t="s">
        <v>15</v>
      </c>
      <c r="E868">
        <v>1247.02</v>
      </c>
      <c r="F868">
        <v>3</v>
      </c>
      <c r="G868">
        <v>0.28999999999999998</v>
      </c>
      <c r="H868">
        <v>0.39</v>
      </c>
      <c r="I868" t="s">
        <v>12</v>
      </c>
      <c r="J868" t="s">
        <v>204</v>
      </c>
      <c r="K868">
        <f t="shared" si="13"/>
        <v>3741.06</v>
      </c>
    </row>
    <row r="869" spans="1:11">
      <c r="A869">
        <v>868</v>
      </c>
      <c r="B869" s="1">
        <v>45582</v>
      </c>
      <c r="C869" t="s">
        <v>20</v>
      </c>
      <c r="D869" t="s">
        <v>15</v>
      </c>
      <c r="E869">
        <v>1099.3499999999999</v>
      </c>
      <c r="F869">
        <v>5</v>
      </c>
      <c r="G869">
        <v>0.26</v>
      </c>
      <c r="H869">
        <v>0.35</v>
      </c>
      <c r="I869" t="s">
        <v>24</v>
      </c>
      <c r="J869" t="s">
        <v>70</v>
      </c>
      <c r="K869">
        <f t="shared" si="13"/>
        <v>5496.75</v>
      </c>
    </row>
    <row r="870" spans="1:11">
      <c r="A870">
        <v>869</v>
      </c>
      <c r="B870" s="1">
        <v>45542</v>
      </c>
      <c r="C870" t="s">
        <v>14</v>
      </c>
      <c r="D870" t="s">
        <v>15</v>
      </c>
      <c r="E870">
        <v>1421.47</v>
      </c>
      <c r="F870">
        <v>4</v>
      </c>
      <c r="G870">
        <v>0.11</v>
      </c>
      <c r="H870">
        <v>0.28999999999999998</v>
      </c>
      <c r="I870" t="s">
        <v>24</v>
      </c>
      <c r="J870" t="s">
        <v>41</v>
      </c>
      <c r="K870">
        <f t="shared" si="13"/>
        <v>5685.88</v>
      </c>
    </row>
    <row r="871" spans="1:11">
      <c r="A871">
        <v>870</v>
      </c>
      <c r="B871" s="1">
        <v>45516</v>
      </c>
      <c r="C871" t="s">
        <v>23</v>
      </c>
      <c r="D871" t="s">
        <v>15</v>
      </c>
      <c r="E871">
        <v>1175.78</v>
      </c>
      <c r="F871">
        <v>1</v>
      </c>
      <c r="G871">
        <v>0.18</v>
      </c>
      <c r="H871">
        <v>0.3</v>
      </c>
      <c r="I871" t="s">
        <v>24</v>
      </c>
      <c r="J871" t="s">
        <v>198</v>
      </c>
      <c r="K871">
        <f t="shared" si="13"/>
        <v>1175.78</v>
      </c>
    </row>
    <row r="872" spans="1:11">
      <c r="A872">
        <v>871</v>
      </c>
      <c r="B872" s="1">
        <v>45374</v>
      </c>
      <c r="C872" t="s">
        <v>31</v>
      </c>
      <c r="D872" t="s">
        <v>11</v>
      </c>
      <c r="E872">
        <v>660.7</v>
      </c>
      <c r="F872">
        <v>3</v>
      </c>
      <c r="G872">
        <v>0.28000000000000003</v>
      </c>
      <c r="H872">
        <v>0.15</v>
      </c>
      <c r="I872" t="s">
        <v>12</v>
      </c>
      <c r="J872" t="s">
        <v>236</v>
      </c>
      <c r="K872">
        <f t="shared" si="13"/>
        <v>1982.1000000000001</v>
      </c>
    </row>
    <row r="873" spans="1:11">
      <c r="A873">
        <v>872</v>
      </c>
      <c r="B873" s="1">
        <v>45321</v>
      </c>
      <c r="C873" t="s">
        <v>23</v>
      </c>
      <c r="D873" t="s">
        <v>15</v>
      </c>
      <c r="E873">
        <v>1333.5</v>
      </c>
      <c r="F873">
        <v>5</v>
      </c>
      <c r="G873">
        <v>0.09</v>
      </c>
      <c r="H873">
        <v>0.26</v>
      </c>
      <c r="I873" t="s">
        <v>16</v>
      </c>
      <c r="J873" t="s">
        <v>105</v>
      </c>
      <c r="K873">
        <f t="shared" si="13"/>
        <v>6667.5</v>
      </c>
    </row>
    <row r="874" spans="1:11">
      <c r="A874">
        <v>873</v>
      </c>
      <c r="B874" s="1">
        <v>45316</v>
      </c>
      <c r="C874" t="s">
        <v>20</v>
      </c>
      <c r="D874" t="s">
        <v>15</v>
      </c>
      <c r="E874">
        <v>1170.03</v>
      </c>
      <c r="F874">
        <v>2</v>
      </c>
      <c r="G874">
        <v>0.05</v>
      </c>
      <c r="H874">
        <v>0.23</v>
      </c>
      <c r="I874" t="s">
        <v>21</v>
      </c>
      <c r="J874" t="s">
        <v>39</v>
      </c>
      <c r="K874">
        <f t="shared" si="13"/>
        <v>2340.06</v>
      </c>
    </row>
    <row r="875" spans="1:11">
      <c r="A875">
        <v>874</v>
      </c>
      <c r="B875" s="1">
        <v>45418</v>
      </c>
      <c r="C875" t="s">
        <v>20</v>
      </c>
      <c r="D875" t="s">
        <v>15</v>
      </c>
      <c r="E875">
        <v>1200.8900000000001</v>
      </c>
      <c r="F875">
        <v>2</v>
      </c>
      <c r="G875">
        <v>0.03</v>
      </c>
      <c r="H875">
        <v>0.22</v>
      </c>
      <c r="I875" t="s">
        <v>24</v>
      </c>
      <c r="J875" t="s">
        <v>272</v>
      </c>
      <c r="K875">
        <f t="shared" si="13"/>
        <v>2401.7800000000002</v>
      </c>
    </row>
    <row r="876" spans="1:11">
      <c r="A876">
        <v>875</v>
      </c>
      <c r="B876" s="1">
        <v>45390</v>
      </c>
      <c r="C876" t="s">
        <v>14</v>
      </c>
      <c r="D876" t="s">
        <v>15</v>
      </c>
      <c r="E876">
        <v>49.47</v>
      </c>
      <c r="F876">
        <v>3</v>
      </c>
      <c r="G876">
        <v>0.18</v>
      </c>
      <c r="H876">
        <v>0.15</v>
      </c>
      <c r="I876" t="s">
        <v>21</v>
      </c>
      <c r="J876" t="s">
        <v>311</v>
      </c>
      <c r="K876">
        <f t="shared" si="13"/>
        <v>148.41</v>
      </c>
    </row>
    <row r="877" spans="1:11">
      <c r="A877">
        <v>876</v>
      </c>
      <c r="B877" s="1">
        <v>45500</v>
      </c>
      <c r="C877" t="s">
        <v>14</v>
      </c>
      <c r="D877" t="s">
        <v>15</v>
      </c>
      <c r="E877">
        <v>371.62</v>
      </c>
      <c r="F877">
        <v>5</v>
      </c>
      <c r="G877">
        <v>0.25</v>
      </c>
      <c r="H877">
        <v>0.39</v>
      </c>
      <c r="I877" t="s">
        <v>16</v>
      </c>
      <c r="J877" t="s">
        <v>180</v>
      </c>
      <c r="K877">
        <f t="shared" si="13"/>
        <v>1858.1</v>
      </c>
    </row>
    <row r="878" spans="1:11">
      <c r="A878">
        <v>877</v>
      </c>
      <c r="B878" s="1">
        <v>45345</v>
      </c>
      <c r="C878" t="s">
        <v>10</v>
      </c>
      <c r="D878" t="s">
        <v>11</v>
      </c>
      <c r="E878">
        <v>366.43</v>
      </c>
      <c r="F878">
        <v>2</v>
      </c>
      <c r="G878">
        <v>0.28000000000000003</v>
      </c>
      <c r="H878">
        <v>0.23</v>
      </c>
      <c r="I878" t="s">
        <v>16</v>
      </c>
      <c r="J878" t="s">
        <v>245</v>
      </c>
      <c r="K878">
        <f t="shared" si="13"/>
        <v>732.86</v>
      </c>
    </row>
    <row r="879" spans="1:11">
      <c r="A879">
        <v>878</v>
      </c>
      <c r="B879" s="1">
        <v>45478</v>
      </c>
      <c r="C879" t="s">
        <v>23</v>
      </c>
      <c r="D879" t="s">
        <v>15</v>
      </c>
      <c r="E879">
        <v>340.2</v>
      </c>
      <c r="F879">
        <v>1</v>
      </c>
      <c r="G879">
        <v>0</v>
      </c>
      <c r="H879">
        <v>0.36</v>
      </c>
      <c r="I879" t="s">
        <v>16</v>
      </c>
      <c r="J879" t="s">
        <v>110</v>
      </c>
      <c r="K879">
        <f t="shared" si="13"/>
        <v>340.2</v>
      </c>
    </row>
    <row r="880" spans="1:11">
      <c r="A880">
        <v>879</v>
      </c>
      <c r="B880" s="1">
        <v>45595</v>
      </c>
      <c r="C880" t="s">
        <v>10</v>
      </c>
      <c r="D880" t="s">
        <v>11</v>
      </c>
      <c r="E880">
        <v>885.3</v>
      </c>
      <c r="F880">
        <v>1</v>
      </c>
      <c r="G880">
        <v>0.24</v>
      </c>
      <c r="H880">
        <v>0.19</v>
      </c>
      <c r="I880" t="s">
        <v>16</v>
      </c>
      <c r="J880" t="s">
        <v>76</v>
      </c>
      <c r="K880">
        <f t="shared" si="13"/>
        <v>885.3</v>
      </c>
    </row>
    <row r="881" spans="1:11">
      <c r="A881">
        <v>880</v>
      </c>
      <c r="B881" s="1">
        <v>45421</v>
      </c>
      <c r="C881" t="s">
        <v>23</v>
      </c>
      <c r="D881" t="s">
        <v>15</v>
      </c>
      <c r="E881">
        <v>1054.1300000000001</v>
      </c>
      <c r="F881">
        <v>4</v>
      </c>
      <c r="G881">
        <v>0.12</v>
      </c>
      <c r="H881">
        <v>0.39</v>
      </c>
      <c r="I881" t="s">
        <v>16</v>
      </c>
      <c r="J881" t="s">
        <v>117</v>
      </c>
      <c r="K881">
        <f t="shared" si="13"/>
        <v>4216.5200000000004</v>
      </c>
    </row>
    <row r="882" spans="1:11">
      <c r="A882">
        <v>881</v>
      </c>
      <c r="B882" s="1">
        <v>45554</v>
      </c>
      <c r="C882" t="s">
        <v>23</v>
      </c>
      <c r="D882" t="s">
        <v>15</v>
      </c>
      <c r="E882">
        <v>116.28</v>
      </c>
      <c r="F882">
        <v>3</v>
      </c>
      <c r="G882">
        <v>0.21</v>
      </c>
      <c r="H882">
        <v>0.18</v>
      </c>
      <c r="I882" t="s">
        <v>16</v>
      </c>
      <c r="J882" t="s">
        <v>312</v>
      </c>
      <c r="K882">
        <f t="shared" si="13"/>
        <v>348.84000000000003</v>
      </c>
    </row>
    <row r="883" spans="1:11">
      <c r="A883">
        <v>882</v>
      </c>
      <c r="B883" s="1">
        <v>45308</v>
      </c>
      <c r="C883" t="s">
        <v>23</v>
      </c>
      <c r="D883" t="s">
        <v>15</v>
      </c>
      <c r="E883">
        <v>219.65</v>
      </c>
      <c r="F883">
        <v>4</v>
      </c>
      <c r="G883">
        <v>0.13</v>
      </c>
      <c r="H883">
        <v>0.35</v>
      </c>
      <c r="I883" t="s">
        <v>12</v>
      </c>
      <c r="J883" t="s">
        <v>284</v>
      </c>
      <c r="K883">
        <f t="shared" si="13"/>
        <v>878.6</v>
      </c>
    </row>
    <row r="884" spans="1:11">
      <c r="A884">
        <v>883</v>
      </c>
      <c r="B884" s="1">
        <v>45616</v>
      </c>
      <c r="C884" t="s">
        <v>23</v>
      </c>
      <c r="D884" t="s">
        <v>15</v>
      </c>
      <c r="E884">
        <v>352.13</v>
      </c>
      <c r="F884">
        <v>1</v>
      </c>
      <c r="G884">
        <v>7.0000000000000007E-2</v>
      </c>
      <c r="H884">
        <v>0.35</v>
      </c>
      <c r="I884" t="s">
        <v>12</v>
      </c>
      <c r="J884" t="s">
        <v>251</v>
      </c>
      <c r="K884">
        <f t="shared" si="13"/>
        <v>352.13</v>
      </c>
    </row>
    <row r="885" spans="1:11">
      <c r="A885">
        <v>884</v>
      </c>
      <c r="B885" s="1">
        <v>45367</v>
      </c>
      <c r="C885" t="s">
        <v>31</v>
      </c>
      <c r="D885" t="s">
        <v>11</v>
      </c>
      <c r="E885">
        <v>157.63</v>
      </c>
      <c r="F885">
        <v>4</v>
      </c>
      <c r="G885">
        <v>0.14000000000000001</v>
      </c>
      <c r="H885">
        <v>0.2</v>
      </c>
      <c r="I885" t="s">
        <v>12</v>
      </c>
      <c r="J885" t="s">
        <v>249</v>
      </c>
      <c r="K885">
        <f t="shared" si="13"/>
        <v>630.52</v>
      </c>
    </row>
    <row r="886" spans="1:11">
      <c r="A886">
        <v>885</v>
      </c>
      <c r="B886" s="1">
        <v>45584</v>
      </c>
      <c r="C886" t="s">
        <v>26</v>
      </c>
      <c r="D886" t="s">
        <v>11</v>
      </c>
      <c r="E886">
        <v>448.81</v>
      </c>
      <c r="F886">
        <v>2</v>
      </c>
      <c r="G886">
        <v>0.2</v>
      </c>
      <c r="H886">
        <v>0.36</v>
      </c>
      <c r="I886" t="s">
        <v>21</v>
      </c>
      <c r="J886" t="s">
        <v>44</v>
      </c>
      <c r="K886">
        <f t="shared" si="13"/>
        <v>897.62</v>
      </c>
    </row>
    <row r="887" spans="1:11">
      <c r="A887">
        <v>886</v>
      </c>
      <c r="B887" s="1">
        <v>45397</v>
      </c>
      <c r="C887" t="s">
        <v>14</v>
      </c>
      <c r="D887" t="s">
        <v>15</v>
      </c>
      <c r="E887">
        <v>1098.1099999999999</v>
      </c>
      <c r="F887">
        <v>4</v>
      </c>
      <c r="G887">
        <v>0.21</v>
      </c>
      <c r="H887">
        <v>0.27</v>
      </c>
      <c r="I887" t="s">
        <v>12</v>
      </c>
      <c r="J887" t="s">
        <v>226</v>
      </c>
      <c r="K887">
        <f t="shared" si="13"/>
        <v>4392.4399999999996</v>
      </c>
    </row>
    <row r="888" spans="1:11">
      <c r="A888">
        <v>887</v>
      </c>
      <c r="B888" s="1">
        <v>45439</v>
      </c>
      <c r="C888" t="s">
        <v>31</v>
      </c>
      <c r="D888" t="s">
        <v>11</v>
      </c>
      <c r="E888">
        <v>332.67</v>
      </c>
      <c r="F888">
        <v>5</v>
      </c>
      <c r="G888">
        <v>0.23</v>
      </c>
      <c r="H888">
        <v>0.15</v>
      </c>
      <c r="I888" t="s">
        <v>21</v>
      </c>
      <c r="J888" t="s">
        <v>293</v>
      </c>
      <c r="K888">
        <f t="shared" si="13"/>
        <v>1663.3500000000001</v>
      </c>
    </row>
    <row r="889" spans="1:11">
      <c r="A889">
        <v>888</v>
      </c>
      <c r="B889" s="1">
        <v>45437</v>
      </c>
      <c r="C889" t="s">
        <v>31</v>
      </c>
      <c r="D889" t="s">
        <v>11</v>
      </c>
      <c r="E889">
        <v>1107.51</v>
      </c>
      <c r="F889">
        <v>4</v>
      </c>
      <c r="G889">
        <v>0.12</v>
      </c>
      <c r="H889">
        <v>0.14000000000000001</v>
      </c>
      <c r="I889" t="s">
        <v>21</v>
      </c>
      <c r="J889" t="s">
        <v>121</v>
      </c>
      <c r="K889">
        <f t="shared" si="13"/>
        <v>4430.04</v>
      </c>
    </row>
    <row r="890" spans="1:11">
      <c r="A890">
        <v>889</v>
      </c>
      <c r="B890" s="1">
        <v>45325</v>
      </c>
      <c r="C890" t="s">
        <v>31</v>
      </c>
      <c r="D890" t="s">
        <v>11</v>
      </c>
      <c r="E890">
        <v>108.6</v>
      </c>
      <c r="F890">
        <v>4</v>
      </c>
      <c r="G890">
        <v>0.18</v>
      </c>
      <c r="H890">
        <v>0.2</v>
      </c>
      <c r="I890" t="s">
        <v>21</v>
      </c>
      <c r="J890" t="s">
        <v>188</v>
      </c>
      <c r="K890">
        <f t="shared" si="13"/>
        <v>434.4</v>
      </c>
    </row>
    <row r="891" spans="1:11">
      <c r="A891">
        <v>890</v>
      </c>
      <c r="B891" s="1">
        <v>45620</v>
      </c>
      <c r="C891" t="s">
        <v>20</v>
      </c>
      <c r="D891" t="s">
        <v>15</v>
      </c>
      <c r="E891">
        <v>310.32</v>
      </c>
      <c r="F891">
        <v>5</v>
      </c>
      <c r="G891">
        <v>0.1</v>
      </c>
      <c r="H891">
        <v>0.2</v>
      </c>
      <c r="I891" t="s">
        <v>21</v>
      </c>
      <c r="J891" t="s">
        <v>79</v>
      </c>
      <c r="K891">
        <f t="shared" si="13"/>
        <v>1551.6</v>
      </c>
    </row>
    <row r="892" spans="1:11">
      <c r="A892">
        <v>891</v>
      </c>
      <c r="B892" s="1">
        <v>45626</v>
      </c>
      <c r="C892" t="s">
        <v>26</v>
      </c>
      <c r="D892" t="s">
        <v>11</v>
      </c>
      <c r="E892">
        <v>364.24</v>
      </c>
      <c r="F892">
        <v>3</v>
      </c>
      <c r="G892">
        <v>0.19</v>
      </c>
      <c r="H892">
        <v>0.36</v>
      </c>
      <c r="I892" t="s">
        <v>16</v>
      </c>
      <c r="J892" t="s">
        <v>33</v>
      </c>
      <c r="K892">
        <f t="shared" si="13"/>
        <v>1092.72</v>
      </c>
    </row>
    <row r="893" spans="1:11">
      <c r="A893">
        <v>892</v>
      </c>
      <c r="B893" s="1">
        <v>45296</v>
      </c>
      <c r="C893" t="s">
        <v>31</v>
      </c>
      <c r="D893" t="s">
        <v>11</v>
      </c>
      <c r="E893">
        <v>1243.45</v>
      </c>
      <c r="F893">
        <v>1</v>
      </c>
      <c r="G893">
        <v>0.16</v>
      </c>
      <c r="H893">
        <v>0.13</v>
      </c>
      <c r="I893" t="s">
        <v>12</v>
      </c>
      <c r="J893" t="s">
        <v>25</v>
      </c>
      <c r="K893">
        <f t="shared" si="13"/>
        <v>1243.45</v>
      </c>
    </row>
    <row r="894" spans="1:11">
      <c r="A894">
        <v>893</v>
      </c>
      <c r="B894" s="1">
        <v>45591</v>
      </c>
      <c r="C894" t="s">
        <v>31</v>
      </c>
      <c r="D894" t="s">
        <v>11</v>
      </c>
      <c r="E894">
        <v>255.57</v>
      </c>
      <c r="F894">
        <v>3</v>
      </c>
      <c r="G894">
        <v>0.11</v>
      </c>
      <c r="H894">
        <v>0.3</v>
      </c>
      <c r="I894" t="s">
        <v>12</v>
      </c>
      <c r="J894" t="s">
        <v>217</v>
      </c>
      <c r="K894">
        <f t="shared" si="13"/>
        <v>766.71</v>
      </c>
    </row>
    <row r="895" spans="1:11">
      <c r="A895">
        <v>894</v>
      </c>
      <c r="B895" s="1">
        <v>45359</v>
      </c>
      <c r="C895" t="s">
        <v>14</v>
      </c>
      <c r="D895" t="s">
        <v>15</v>
      </c>
      <c r="E895">
        <v>144.81</v>
      </c>
      <c r="F895">
        <v>2</v>
      </c>
      <c r="G895">
        <v>0.13</v>
      </c>
      <c r="H895">
        <v>0.25</v>
      </c>
      <c r="I895" t="s">
        <v>12</v>
      </c>
      <c r="J895" t="s">
        <v>19</v>
      </c>
      <c r="K895">
        <f t="shared" si="13"/>
        <v>289.62</v>
      </c>
    </row>
    <row r="896" spans="1:11">
      <c r="A896">
        <v>895</v>
      </c>
      <c r="B896" s="1">
        <v>45630</v>
      </c>
      <c r="C896" t="s">
        <v>14</v>
      </c>
      <c r="D896" t="s">
        <v>15</v>
      </c>
      <c r="E896">
        <v>1466.49</v>
      </c>
      <c r="F896">
        <v>3</v>
      </c>
      <c r="G896">
        <v>0.17</v>
      </c>
      <c r="H896">
        <v>0.36</v>
      </c>
      <c r="I896" t="s">
        <v>21</v>
      </c>
      <c r="J896" t="s">
        <v>35</v>
      </c>
      <c r="K896">
        <f t="shared" si="13"/>
        <v>4399.47</v>
      </c>
    </row>
    <row r="897" spans="1:11">
      <c r="A897">
        <v>896</v>
      </c>
      <c r="B897" s="1">
        <v>45485</v>
      </c>
      <c r="C897" t="s">
        <v>23</v>
      </c>
      <c r="D897" t="s">
        <v>15</v>
      </c>
      <c r="E897">
        <v>1478.13</v>
      </c>
      <c r="F897">
        <v>2</v>
      </c>
      <c r="G897">
        <v>0.13</v>
      </c>
      <c r="H897">
        <v>0.23</v>
      </c>
      <c r="I897" t="s">
        <v>24</v>
      </c>
      <c r="J897" t="s">
        <v>140</v>
      </c>
      <c r="K897">
        <f t="shared" si="13"/>
        <v>2956.26</v>
      </c>
    </row>
    <row r="898" spans="1:11">
      <c r="A898">
        <v>897</v>
      </c>
      <c r="B898" s="1">
        <v>45536</v>
      </c>
      <c r="C898" t="s">
        <v>14</v>
      </c>
      <c r="D898" t="s">
        <v>15</v>
      </c>
      <c r="E898">
        <v>512.16999999999996</v>
      </c>
      <c r="F898">
        <v>1</v>
      </c>
      <c r="G898">
        <v>0.15</v>
      </c>
      <c r="H898">
        <v>0.28999999999999998</v>
      </c>
      <c r="I898" t="s">
        <v>21</v>
      </c>
      <c r="J898" t="s">
        <v>216</v>
      </c>
      <c r="K898">
        <f t="shared" si="13"/>
        <v>512.16999999999996</v>
      </c>
    </row>
    <row r="899" spans="1:11">
      <c r="A899">
        <v>898</v>
      </c>
      <c r="B899" s="1">
        <v>45618</v>
      </c>
      <c r="C899" t="s">
        <v>26</v>
      </c>
      <c r="D899" t="s">
        <v>11</v>
      </c>
      <c r="E899">
        <v>658.69</v>
      </c>
      <c r="F899">
        <v>1</v>
      </c>
      <c r="G899">
        <v>0.04</v>
      </c>
      <c r="H899">
        <v>0.13</v>
      </c>
      <c r="I899" t="s">
        <v>21</v>
      </c>
      <c r="J899" t="s">
        <v>86</v>
      </c>
      <c r="K899">
        <f t="shared" si="13"/>
        <v>658.69</v>
      </c>
    </row>
    <row r="900" spans="1:11">
      <c r="A900">
        <v>899</v>
      </c>
      <c r="B900" s="1">
        <v>45639</v>
      </c>
      <c r="C900" t="s">
        <v>31</v>
      </c>
      <c r="D900" t="s">
        <v>11</v>
      </c>
      <c r="E900">
        <v>48.9</v>
      </c>
      <c r="F900">
        <v>2</v>
      </c>
      <c r="G900">
        <v>0.08</v>
      </c>
      <c r="H900">
        <v>0.24</v>
      </c>
      <c r="I900" t="s">
        <v>21</v>
      </c>
      <c r="J900" t="s">
        <v>75</v>
      </c>
      <c r="K900">
        <f t="shared" ref="K900:K963" si="14">E900*F900</f>
        <v>97.8</v>
      </c>
    </row>
    <row r="901" spans="1:11">
      <c r="A901">
        <v>900</v>
      </c>
      <c r="B901" s="1">
        <v>45397</v>
      </c>
      <c r="C901" t="s">
        <v>23</v>
      </c>
      <c r="D901" t="s">
        <v>15</v>
      </c>
      <c r="E901">
        <v>312.64</v>
      </c>
      <c r="F901">
        <v>4</v>
      </c>
      <c r="G901">
        <v>0.23</v>
      </c>
      <c r="H901">
        <v>0.34</v>
      </c>
      <c r="I901" t="s">
        <v>16</v>
      </c>
      <c r="J901" t="s">
        <v>275</v>
      </c>
      <c r="K901">
        <f t="shared" si="14"/>
        <v>1250.56</v>
      </c>
    </row>
    <row r="902" spans="1:11">
      <c r="A902">
        <v>901</v>
      </c>
      <c r="B902" s="1">
        <v>45597</v>
      </c>
      <c r="C902" t="s">
        <v>20</v>
      </c>
      <c r="D902" t="s">
        <v>15</v>
      </c>
      <c r="E902">
        <v>1301.7</v>
      </c>
      <c r="F902">
        <v>4</v>
      </c>
      <c r="G902">
        <v>0.02</v>
      </c>
      <c r="H902">
        <v>0.19</v>
      </c>
      <c r="I902" t="s">
        <v>24</v>
      </c>
      <c r="J902" t="s">
        <v>280</v>
      </c>
      <c r="K902">
        <f t="shared" si="14"/>
        <v>5206.8</v>
      </c>
    </row>
    <row r="903" spans="1:11">
      <c r="A903">
        <v>902</v>
      </c>
      <c r="B903" s="1">
        <v>45574</v>
      </c>
      <c r="C903" t="s">
        <v>14</v>
      </c>
      <c r="D903" t="s">
        <v>15</v>
      </c>
      <c r="E903">
        <v>1018.91</v>
      </c>
      <c r="F903">
        <v>5</v>
      </c>
      <c r="G903">
        <v>0.04</v>
      </c>
      <c r="H903">
        <v>0.15</v>
      </c>
      <c r="I903" t="s">
        <v>16</v>
      </c>
      <c r="J903" t="s">
        <v>25</v>
      </c>
      <c r="K903">
        <f t="shared" si="14"/>
        <v>5094.55</v>
      </c>
    </row>
    <row r="904" spans="1:11">
      <c r="A904">
        <v>903</v>
      </c>
      <c r="B904" s="1">
        <v>45473</v>
      </c>
      <c r="C904" t="s">
        <v>20</v>
      </c>
      <c r="D904" t="s">
        <v>15</v>
      </c>
      <c r="E904">
        <v>901.51</v>
      </c>
      <c r="F904">
        <v>2</v>
      </c>
      <c r="G904">
        <v>0.23</v>
      </c>
      <c r="H904">
        <v>0.1</v>
      </c>
      <c r="I904" t="s">
        <v>12</v>
      </c>
      <c r="J904" t="s">
        <v>207</v>
      </c>
      <c r="K904">
        <f t="shared" si="14"/>
        <v>1803.02</v>
      </c>
    </row>
    <row r="905" spans="1:11">
      <c r="A905">
        <v>904</v>
      </c>
      <c r="B905" s="1">
        <v>45589</v>
      </c>
      <c r="C905" t="s">
        <v>23</v>
      </c>
      <c r="D905" t="s">
        <v>15</v>
      </c>
      <c r="E905">
        <v>657.87</v>
      </c>
      <c r="F905">
        <v>4</v>
      </c>
      <c r="G905">
        <v>0.23</v>
      </c>
      <c r="H905">
        <v>0.17</v>
      </c>
      <c r="I905" t="s">
        <v>24</v>
      </c>
      <c r="J905" t="s">
        <v>269</v>
      </c>
      <c r="K905">
        <f t="shared" si="14"/>
        <v>2631.48</v>
      </c>
    </row>
    <row r="906" spans="1:11">
      <c r="A906">
        <v>905</v>
      </c>
      <c r="B906" s="1">
        <v>45594</v>
      </c>
      <c r="C906" t="s">
        <v>20</v>
      </c>
      <c r="D906" t="s">
        <v>15</v>
      </c>
      <c r="E906">
        <v>369.17</v>
      </c>
      <c r="F906">
        <v>5</v>
      </c>
      <c r="G906">
        <v>0.2</v>
      </c>
      <c r="H906">
        <v>0.3</v>
      </c>
      <c r="I906" t="s">
        <v>21</v>
      </c>
      <c r="J906" t="s">
        <v>121</v>
      </c>
      <c r="K906">
        <f t="shared" si="14"/>
        <v>1845.8500000000001</v>
      </c>
    </row>
    <row r="907" spans="1:11">
      <c r="A907">
        <v>906</v>
      </c>
      <c r="B907" s="1">
        <v>45654</v>
      </c>
      <c r="C907" t="s">
        <v>26</v>
      </c>
      <c r="D907" t="s">
        <v>11</v>
      </c>
      <c r="E907">
        <v>113.42</v>
      </c>
      <c r="F907">
        <v>5</v>
      </c>
      <c r="G907">
        <v>0.18</v>
      </c>
      <c r="H907">
        <v>0.35</v>
      </c>
      <c r="I907" t="s">
        <v>12</v>
      </c>
      <c r="J907" t="s">
        <v>52</v>
      </c>
      <c r="K907">
        <f t="shared" si="14"/>
        <v>567.1</v>
      </c>
    </row>
    <row r="908" spans="1:11">
      <c r="A908">
        <v>907</v>
      </c>
      <c r="B908" s="1">
        <v>45303</v>
      </c>
      <c r="C908" t="s">
        <v>23</v>
      </c>
      <c r="D908" t="s">
        <v>15</v>
      </c>
      <c r="E908">
        <v>192.33</v>
      </c>
      <c r="F908">
        <v>2</v>
      </c>
      <c r="G908">
        <v>0.06</v>
      </c>
      <c r="H908">
        <v>0.28000000000000003</v>
      </c>
      <c r="I908" t="s">
        <v>24</v>
      </c>
      <c r="J908" t="s">
        <v>90</v>
      </c>
      <c r="K908">
        <f t="shared" si="14"/>
        <v>384.66</v>
      </c>
    </row>
    <row r="909" spans="1:11">
      <c r="A909">
        <v>908</v>
      </c>
      <c r="B909" s="1">
        <v>45517</v>
      </c>
      <c r="C909" t="s">
        <v>23</v>
      </c>
      <c r="D909" t="s">
        <v>15</v>
      </c>
      <c r="E909">
        <v>514.66</v>
      </c>
      <c r="F909">
        <v>4</v>
      </c>
      <c r="G909">
        <v>0.01</v>
      </c>
      <c r="H909">
        <v>0.28999999999999998</v>
      </c>
      <c r="I909" t="s">
        <v>24</v>
      </c>
      <c r="J909" t="s">
        <v>76</v>
      </c>
      <c r="K909">
        <f t="shared" si="14"/>
        <v>2058.64</v>
      </c>
    </row>
    <row r="910" spans="1:11">
      <c r="A910">
        <v>909</v>
      </c>
      <c r="B910" s="1">
        <v>45455</v>
      </c>
      <c r="C910" t="s">
        <v>23</v>
      </c>
      <c r="D910" t="s">
        <v>15</v>
      </c>
      <c r="E910">
        <v>1266.97</v>
      </c>
      <c r="F910">
        <v>4</v>
      </c>
      <c r="G910">
        <v>0.23</v>
      </c>
      <c r="H910">
        <v>0.3</v>
      </c>
      <c r="I910" t="s">
        <v>16</v>
      </c>
      <c r="J910" t="s">
        <v>139</v>
      </c>
      <c r="K910">
        <f t="shared" si="14"/>
        <v>5067.88</v>
      </c>
    </row>
    <row r="911" spans="1:11">
      <c r="A911">
        <v>910</v>
      </c>
      <c r="B911" s="1">
        <v>45485</v>
      </c>
      <c r="C911" t="s">
        <v>31</v>
      </c>
      <c r="D911" t="s">
        <v>11</v>
      </c>
      <c r="E911">
        <v>282.60000000000002</v>
      </c>
      <c r="F911">
        <v>3</v>
      </c>
      <c r="G911">
        <v>0.19</v>
      </c>
      <c r="H911">
        <v>0.34</v>
      </c>
      <c r="I911" t="s">
        <v>24</v>
      </c>
      <c r="J911" t="s">
        <v>202</v>
      </c>
      <c r="K911">
        <f t="shared" si="14"/>
        <v>847.80000000000007</v>
      </c>
    </row>
    <row r="912" spans="1:11">
      <c r="A912">
        <v>911</v>
      </c>
      <c r="B912" s="1">
        <v>45650</v>
      </c>
      <c r="C912" t="s">
        <v>14</v>
      </c>
      <c r="D912" t="s">
        <v>15</v>
      </c>
      <c r="E912">
        <v>99.36</v>
      </c>
      <c r="F912">
        <v>4</v>
      </c>
      <c r="G912">
        <v>0.18</v>
      </c>
      <c r="H912">
        <v>0.15</v>
      </c>
      <c r="I912" t="s">
        <v>21</v>
      </c>
      <c r="J912" t="s">
        <v>266</v>
      </c>
      <c r="K912">
        <f t="shared" si="14"/>
        <v>397.44</v>
      </c>
    </row>
    <row r="913" spans="1:11">
      <c r="A913">
        <v>912</v>
      </c>
      <c r="B913" s="1">
        <v>45507</v>
      </c>
      <c r="C913" t="s">
        <v>26</v>
      </c>
      <c r="D913" t="s">
        <v>11</v>
      </c>
      <c r="E913">
        <v>762.91</v>
      </c>
      <c r="F913">
        <v>2</v>
      </c>
      <c r="G913">
        <v>0.16</v>
      </c>
      <c r="H913">
        <v>0.35</v>
      </c>
      <c r="I913" t="s">
        <v>16</v>
      </c>
      <c r="J913" t="s">
        <v>131</v>
      </c>
      <c r="K913">
        <f t="shared" si="14"/>
        <v>1525.82</v>
      </c>
    </row>
    <row r="914" spans="1:11">
      <c r="A914">
        <v>913</v>
      </c>
      <c r="B914" s="1">
        <v>45327</v>
      </c>
      <c r="C914" t="s">
        <v>10</v>
      </c>
      <c r="D914" t="s">
        <v>11</v>
      </c>
      <c r="E914">
        <v>527.91</v>
      </c>
      <c r="F914">
        <v>2</v>
      </c>
      <c r="G914">
        <v>0.12</v>
      </c>
      <c r="H914">
        <v>0.14000000000000001</v>
      </c>
      <c r="I914" t="s">
        <v>21</v>
      </c>
      <c r="J914" t="s">
        <v>275</v>
      </c>
      <c r="K914">
        <f t="shared" si="14"/>
        <v>1055.82</v>
      </c>
    </row>
    <row r="915" spans="1:11">
      <c r="A915">
        <v>914</v>
      </c>
      <c r="B915" s="1">
        <v>45455</v>
      </c>
      <c r="C915" t="s">
        <v>23</v>
      </c>
      <c r="D915" t="s">
        <v>15</v>
      </c>
      <c r="E915">
        <v>1487.39</v>
      </c>
      <c r="F915">
        <v>5</v>
      </c>
      <c r="G915">
        <v>0.27</v>
      </c>
      <c r="H915">
        <v>0.34</v>
      </c>
      <c r="I915" t="s">
        <v>16</v>
      </c>
      <c r="J915" t="s">
        <v>260</v>
      </c>
      <c r="K915">
        <f t="shared" si="14"/>
        <v>7436.9500000000007</v>
      </c>
    </row>
    <row r="916" spans="1:11">
      <c r="A916">
        <v>915</v>
      </c>
      <c r="B916" s="1">
        <v>45478</v>
      </c>
      <c r="C916" t="s">
        <v>20</v>
      </c>
      <c r="D916" t="s">
        <v>15</v>
      </c>
      <c r="E916">
        <v>931.37</v>
      </c>
      <c r="F916">
        <v>3</v>
      </c>
      <c r="G916">
        <v>0.08</v>
      </c>
      <c r="H916">
        <v>0.33</v>
      </c>
      <c r="I916" t="s">
        <v>12</v>
      </c>
      <c r="J916" t="s">
        <v>69</v>
      </c>
      <c r="K916">
        <f t="shared" si="14"/>
        <v>2794.11</v>
      </c>
    </row>
    <row r="917" spans="1:11">
      <c r="A917">
        <v>916</v>
      </c>
      <c r="B917" s="1">
        <v>45497</v>
      </c>
      <c r="C917" t="s">
        <v>14</v>
      </c>
      <c r="D917" t="s">
        <v>15</v>
      </c>
      <c r="E917">
        <v>1388.32</v>
      </c>
      <c r="F917">
        <v>5</v>
      </c>
      <c r="G917">
        <v>0.19</v>
      </c>
      <c r="H917">
        <v>0.28000000000000003</v>
      </c>
      <c r="I917" t="s">
        <v>21</v>
      </c>
      <c r="J917" t="s">
        <v>81</v>
      </c>
      <c r="K917">
        <f t="shared" si="14"/>
        <v>6941.5999999999995</v>
      </c>
    </row>
    <row r="918" spans="1:11">
      <c r="A918">
        <v>917</v>
      </c>
      <c r="B918" s="1">
        <v>45490</v>
      </c>
      <c r="C918" t="s">
        <v>23</v>
      </c>
      <c r="D918" t="s">
        <v>15</v>
      </c>
      <c r="E918">
        <v>1099.95</v>
      </c>
      <c r="F918">
        <v>1</v>
      </c>
      <c r="G918">
        <v>0.2</v>
      </c>
      <c r="H918">
        <v>0.27</v>
      </c>
      <c r="I918" t="s">
        <v>21</v>
      </c>
      <c r="J918" t="s">
        <v>285</v>
      </c>
      <c r="K918">
        <f t="shared" si="14"/>
        <v>1099.95</v>
      </c>
    </row>
    <row r="919" spans="1:11">
      <c r="A919">
        <v>918</v>
      </c>
      <c r="B919" s="1">
        <v>45335</v>
      </c>
      <c r="C919" t="s">
        <v>14</v>
      </c>
      <c r="D919" t="s">
        <v>15</v>
      </c>
      <c r="E919">
        <v>211.25</v>
      </c>
      <c r="F919">
        <v>4</v>
      </c>
      <c r="G919">
        <v>0.28000000000000003</v>
      </c>
      <c r="H919">
        <v>0.24</v>
      </c>
      <c r="I919" t="s">
        <v>24</v>
      </c>
      <c r="J919" t="s">
        <v>223</v>
      </c>
      <c r="K919">
        <f t="shared" si="14"/>
        <v>845</v>
      </c>
    </row>
    <row r="920" spans="1:11">
      <c r="A920">
        <v>919</v>
      </c>
      <c r="B920" s="1">
        <v>45547</v>
      </c>
      <c r="C920" t="s">
        <v>26</v>
      </c>
      <c r="D920" t="s">
        <v>11</v>
      </c>
      <c r="E920">
        <v>983.44</v>
      </c>
      <c r="F920">
        <v>5</v>
      </c>
      <c r="G920">
        <v>0.27</v>
      </c>
      <c r="H920">
        <v>0.28999999999999998</v>
      </c>
      <c r="I920" t="s">
        <v>21</v>
      </c>
      <c r="J920" t="s">
        <v>148</v>
      </c>
      <c r="K920">
        <f t="shared" si="14"/>
        <v>4917.2000000000007</v>
      </c>
    </row>
    <row r="921" spans="1:11">
      <c r="A921">
        <v>920</v>
      </c>
      <c r="B921" s="1">
        <v>45564</v>
      </c>
      <c r="C921" t="s">
        <v>23</v>
      </c>
      <c r="D921" t="s">
        <v>15</v>
      </c>
      <c r="E921">
        <v>1175.24</v>
      </c>
      <c r="F921">
        <v>3</v>
      </c>
      <c r="G921">
        <v>0</v>
      </c>
      <c r="H921">
        <v>0.31</v>
      </c>
      <c r="I921" t="s">
        <v>21</v>
      </c>
      <c r="J921" t="s">
        <v>108</v>
      </c>
      <c r="K921">
        <f t="shared" si="14"/>
        <v>3525.7200000000003</v>
      </c>
    </row>
    <row r="922" spans="1:11">
      <c r="A922">
        <v>921</v>
      </c>
      <c r="B922" s="1">
        <v>45492</v>
      </c>
      <c r="C922" t="s">
        <v>20</v>
      </c>
      <c r="D922" t="s">
        <v>15</v>
      </c>
      <c r="E922">
        <v>842.68</v>
      </c>
      <c r="F922">
        <v>5</v>
      </c>
      <c r="G922">
        <v>0.28999999999999998</v>
      </c>
      <c r="H922">
        <v>0.27</v>
      </c>
      <c r="I922" t="s">
        <v>24</v>
      </c>
      <c r="J922" t="s">
        <v>254</v>
      </c>
      <c r="K922">
        <f t="shared" si="14"/>
        <v>4213.3999999999996</v>
      </c>
    </row>
    <row r="923" spans="1:11">
      <c r="A923">
        <v>922</v>
      </c>
      <c r="B923" s="1">
        <v>45616</v>
      </c>
      <c r="C923" t="s">
        <v>31</v>
      </c>
      <c r="D923" t="s">
        <v>11</v>
      </c>
      <c r="E923">
        <v>840.84</v>
      </c>
      <c r="F923">
        <v>1</v>
      </c>
      <c r="G923">
        <v>0.12</v>
      </c>
      <c r="H923">
        <v>0.3</v>
      </c>
      <c r="I923" t="s">
        <v>21</v>
      </c>
      <c r="J923" t="s">
        <v>198</v>
      </c>
      <c r="K923">
        <f t="shared" si="14"/>
        <v>840.84</v>
      </c>
    </row>
    <row r="924" spans="1:11">
      <c r="A924">
        <v>923</v>
      </c>
      <c r="B924" s="1">
        <v>45634</v>
      </c>
      <c r="C924" t="s">
        <v>23</v>
      </c>
      <c r="D924" t="s">
        <v>15</v>
      </c>
      <c r="E924">
        <v>598.37</v>
      </c>
      <c r="F924">
        <v>1</v>
      </c>
      <c r="G924">
        <v>0.12</v>
      </c>
      <c r="H924">
        <v>0.24</v>
      </c>
      <c r="I924" t="s">
        <v>24</v>
      </c>
      <c r="J924" t="s">
        <v>147</v>
      </c>
      <c r="K924">
        <f t="shared" si="14"/>
        <v>598.37</v>
      </c>
    </row>
    <row r="925" spans="1:11">
      <c r="A925">
        <v>924</v>
      </c>
      <c r="B925" s="1">
        <v>45390</v>
      </c>
      <c r="C925" t="s">
        <v>10</v>
      </c>
      <c r="D925" t="s">
        <v>11</v>
      </c>
      <c r="E925">
        <v>144.53</v>
      </c>
      <c r="F925">
        <v>3</v>
      </c>
      <c r="G925">
        <v>0.16</v>
      </c>
      <c r="H925">
        <v>0.36</v>
      </c>
      <c r="I925" t="s">
        <v>24</v>
      </c>
      <c r="J925" t="s">
        <v>298</v>
      </c>
      <c r="K925">
        <f t="shared" si="14"/>
        <v>433.59000000000003</v>
      </c>
    </row>
    <row r="926" spans="1:11">
      <c r="A926">
        <v>925</v>
      </c>
      <c r="B926" s="1">
        <v>45402</v>
      </c>
      <c r="C926" t="s">
        <v>14</v>
      </c>
      <c r="D926" t="s">
        <v>15</v>
      </c>
      <c r="E926">
        <v>1339.69</v>
      </c>
      <c r="F926">
        <v>3</v>
      </c>
      <c r="G926">
        <v>0.24</v>
      </c>
      <c r="H926">
        <v>0.2</v>
      </c>
      <c r="I926" t="s">
        <v>21</v>
      </c>
      <c r="J926" t="s">
        <v>233</v>
      </c>
      <c r="K926">
        <f t="shared" si="14"/>
        <v>4019.07</v>
      </c>
    </row>
    <row r="927" spans="1:11">
      <c r="A927">
        <v>926</v>
      </c>
      <c r="B927" s="1">
        <v>45320</v>
      </c>
      <c r="C927" t="s">
        <v>23</v>
      </c>
      <c r="D927" t="s">
        <v>15</v>
      </c>
      <c r="E927">
        <v>494.5</v>
      </c>
      <c r="F927">
        <v>2</v>
      </c>
      <c r="G927">
        <v>0.2</v>
      </c>
      <c r="H927">
        <v>0.3</v>
      </c>
      <c r="I927" t="s">
        <v>21</v>
      </c>
      <c r="J927" t="s">
        <v>142</v>
      </c>
      <c r="K927">
        <f t="shared" si="14"/>
        <v>989</v>
      </c>
    </row>
    <row r="928" spans="1:11">
      <c r="A928">
        <v>927</v>
      </c>
      <c r="B928" s="1">
        <v>45655</v>
      </c>
      <c r="C928" t="s">
        <v>10</v>
      </c>
      <c r="D928" t="s">
        <v>11</v>
      </c>
      <c r="E928">
        <v>1049.6099999999999</v>
      </c>
      <c r="F928">
        <v>1</v>
      </c>
      <c r="G928">
        <v>0.19</v>
      </c>
      <c r="H928">
        <v>0.14000000000000001</v>
      </c>
      <c r="I928" t="s">
        <v>21</v>
      </c>
      <c r="J928" t="s">
        <v>136</v>
      </c>
      <c r="K928">
        <f t="shared" si="14"/>
        <v>1049.6099999999999</v>
      </c>
    </row>
    <row r="929" spans="1:11">
      <c r="A929">
        <v>928</v>
      </c>
      <c r="B929" s="1">
        <v>45534</v>
      </c>
      <c r="C929" t="s">
        <v>31</v>
      </c>
      <c r="D929" t="s">
        <v>11</v>
      </c>
      <c r="E929">
        <v>1047.8</v>
      </c>
      <c r="F929">
        <v>5</v>
      </c>
      <c r="G929">
        <v>0.08</v>
      </c>
      <c r="H929">
        <v>0.34</v>
      </c>
      <c r="I929" t="s">
        <v>24</v>
      </c>
      <c r="J929" t="s">
        <v>148</v>
      </c>
      <c r="K929">
        <f t="shared" si="14"/>
        <v>5239</v>
      </c>
    </row>
    <row r="930" spans="1:11">
      <c r="A930">
        <v>929</v>
      </c>
      <c r="B930" s="1">
        <v>45479</v>
      </c>
      <c r="C930" t="s">
        <v>14</v>
      </c>
      <c r="D930" t="s">
        <v>15</v>
      </c>
      <c r="E930">
        <v>762.44</v>
      </c>
      <c r="F930">
        <v>3</v>
      </c>
      <c r="G930">
        <v>0.19</v>
      </c>
      <c r="H930">
        <v>0.16</v>
      </c>
      <c r="I930" t="s">
        <v>24</v>
      </c>
      <c r="J930" t="s">
        <v>302</v>
      </c>
      <c r="K930">
        <f t="shared" si="14"/>
        <v>2287.3200000000002</v>
      </c>
    </row>
    <row r="931" spans="1:11">
      <c r="A931">
        <v>930</v>
      </c>
      <c r="B931" s="1">
        <v>45633</v>
      </c>
      <c r="C931" t="s">
        <v>26</v>
      </c>
      <c r="D931" t="s">
        <v>11</v>
      </c>
      <c r="E931">
        <v>1157.06</v>
      </c>
      <c r="F931">
        <v>4</v>
      </c>
      <c r="G931">
        <v>0.13</v>
      </c>
      <c r="H931">
        <v>0.28999999999999998</v>
      </c>
      <c r="I931" t="s">
        <v>24</v>
      </c>
      <c r="J931" t="s">
        <v>313</v>
      </c>
      <c r="K931">
        <f t="shared" si="14"/>
        <v>4628.24</v>
      </c>
    </row>
    <row r="932" spans="1:11">
      <c r="A932">
        <v>931</v>
      </c>
      <c r="B932" s="1">
        <v>45406</v>
      </c>
      <c r="C932" t="s">
        <v>26</v>
      </c>
      <c r="D932" t="s">
        <v>11</v>
      </c>
      <c r="E932">
        <v>368</v>
      </c>
      <c r="F932">
        <v>4</v>
      </c>
      <c r="G932">
        <v>0.17</v>
      </c>
      <c r="H932">
        <v>0.26</v>
      </c>
      <c r="I932" t="s">
        <v>12</v>
      </c>
      <c r="J932" t="s">
        <v>294</v>
      </c>
      <c r="K932">
        <f t="shared" si="14"/>
        <v>1472</v>
      </c>
    </row>
    <row r="933" spans="1:11">
      <c r="A933">
        <v>932</v>
      </c>
      <c r="B933" s="1">
        <v>45502</v>
      </c>
      <c r="C933" t="s">
        <v>23</v>
      </c>
      <c r="D933" t="s">
        <v>15</v>
      </c>
      <c r="E933">
        <v>730.77</v>
      </c>
      <c r="F933">
        <v>3</v>
      </c>
      <c r="G933">
        <v>0.08</v>
      </c>
      <c r="H933">
        <v>0.33</v>
      </c>
      <c r="I933" t="s">
        <v>21</v>
      </c>
      <c r="J933" t="s">
        <v>306</v>
      </c>
      <c r="K933">
        <f t="shared" si="14"/>
        <v>2192.31</v>
      </c>
    </row>
    <row r="934" spans="1:11">
      <c r="A934">
        <v>933</v>
      </c>
      <c r="B934" s="1">
        <v>45558</v>
      </c>
      <c r="C934" t="s">
        <v>26</v>
      </c>
      <c r="D934" t="s">
        <v>11</v>
      </c>
      <c r="E934">
        <v>1252.82</v>
      </c>
      <c r="F934">
        <v>3</v>
      </c>
      <c r="G934">
        <v>0.18</v>
      </c>
      <c r="H934">
        <v>0.26</v>
      </c>
      <c r="I934" t="s">
        <v>24</v>
      </c>
      <c r="J934" t="s">
        <v>63</v>
      </c>
      <c r="K934">
        <f t="shared" si="14"/>
        <v>3758.46</v>
      </c>
    </row>
    <row r="935" spans="1:11">
      <c r="A935">
        <v>934</v>
      </c>
      <c r="B935" s="1">
        <v>45566</v>
      </c>
      <c r="C935" t="s">
        <v>10</v>
      </c>
      <c r="D935" t="s">
        <v>11</v>
      </c>
      <c r="E935">
        <v>965.72</v>
      </c>
      <c r="F935">
        <v>3</v>
      </c>
      <c r="G935">
        <v>0.28000000000000003</v>
      </c>
      <c r="H935">
        <v>0.26</v>
      </c>
      <c r="I935" t="s">
        <v>24</v>
      </c>
      <c r="J935" t="s">
        <v>181</v>
      </c>
      <c r="K935">
        <f t="shared" si="14"/>
        <v>2897.16</v>
      </c>
    </row>
    <row r="936" spans="1:11">
      <c r="A936">
        <v>935</v>
      </c>
      <c r="B936" s="1">
        <v>45356</v>
      </c>
      <c r="C936" t="s">
        <v>23</v>
      </c>
      <c r="D936" t="s">
        <v>15</v>
      </c>
      <c r="E936">
        <v>1041.73</v>
      </c>
      <c r="F936">
        <v>4</v>
      </c>
      <c r="G936">
        <v>0.09</v>
      </c>
      <c r="H936">
        <v>0.28000000000000003</v>
      </c>
      <c r="I936" t="s">
        <v>21</v>
      </c>
      <c r="J936" t="s">
        <v>129</v>
      </c>
      <c r="K936">
        <f t="shared" si="14"/>
        <v>4166.92</v>
      </c>
    </row>
    <row r="937" spans="1:11">
      <c r="A937">
        <v>936</v>
      </c>
      <c r="B937" s="1">
        <v>45554</v>
      </c>
      <c r="C937" t="s">
        <v>26</v>
      </c>
      <c r="D937" t="s">
        <v>11</v>
      </c>
      <c r="E937">
        <v>1466.12</v>
      </c>
      <c r="F937">
        <v>3</v>
      </c>
      <c r="G937">
        <v>0.04</v>
      </c>
      <c r="H937">
        <v>0.37</v>
      </c>
      <c r="I937" t="s">
        <v>12</v>
      </c>
      <c r="J937" t="s">
        <v>147</v>
      </c>
      <c r="K937">
        <f t="shared" si="14"/>
        <v>4398.3599999999997</v>
      </c>
    </row>
    <row r="938" spans="1:11">
      <c r="A938">
        <v>937</v>
      </c>
      <c r="B938" s="1">
        <v>45649</v>
      </c>
      <c r="C938" t="s">
        <v>23</v>
      </c>
      <c r="D938" t="s">
        <v>15</v>
      </c>
      <c r="E938">
        <v>970.42</v>
      </c>
      <c r="F938">
        <v>5</v>
      </c>
      <c r="G938">
        <v>0.3</v>
      </c>
      <c r="H938">
        <v>0.31</v>
      </c>
      <c r="I938" t="s">
        <v>21</v>
      </c>
      <c r="J938" t="s">
        <v>228</v>
      </c>
      <c r="K938">
        <f t="shared" si="14"/>
        <v>4852.0999999999995</v>
      </c>
    </row>
    <row r="939" spans="1:11">
      <c r="A939">
        <v>938</v>
      </c>
      <c r="B939" s="1">
        <v>45600</v>
      </c>
      <c r="C939" t="s">
        <v>14</v>
      </c>
      <c r="D939" t="s">
        <v>15</v>
      </c>
      <c r="E939">
        <v>845.79</v>
      </c>
      <c r="F939">
        <v>3</v>
      </c>
      <c r="G939">
        <v>0.28000000000000003</v>
      </c>
      <c r="H939">
        <v>0.26</v>
      </c>
      <c r="I939" t="s">
        <v>16</v>
      </c>
      <c r="J939" t="s">
        <v>244</v>
      </c>
      <c r="K939">
        <f t="shared" si="14"/>
        <v>2537.37</v>
      </c>
    </row>
    <row r="940" spans="1:11">
      <c r="A940">
        <v>939</v>
      </c>
      <c r="B940" s="1">
        <v>45345</v>
      </c>
      <c r="C940" t="s">
        <v>26</v>
      </c>
      <c r="D940" t="s">
        <v>11</v>
      </c>
      <c r="E940">
        <v>490.77</v>
      </c>
      <c r="F940">
        <v>1</v>
      </c>
      <c r="G940">
        <v>0.28999999999999998</v>
      </c>
      <c r="H940">
        <v>0.35</v>
      </c>
      <c r="I940" t="s">
        <v>12</v>
      </c>
      <c r="J940" t="s">
        <v>271</v>
      </c>
      <c r="K940">
        <f t="shared" si="14"/>
        <v>490.77</v>
      </c>
    </row>
    <row r="941" spans="1:11">
      <c r="A941">
        <v>940</v>
      </c>
      <c r="B941" s="1">
        <v>45413</v>
      </c>
      <c r="C941" t="s">
        <v>14</v>
      </c>
      <c r="D941" t="s">
        <v>15</v>
      </c>
      <c r="E941">
        <v>513.74</v>
      </c>
      <c r="F941">
        <v>4</v>
      </c>
      <c r="G941">
        <v>0.12</v>
      </c>
      <c r="H941">
        <v>0.33</v>
      </c>
      <c r="I941" t="s">
        <v>12</v>
      </c>
      <c r="J941" t="s">
        <v>125</v>
      </c>
      <c r="K941">
        <f t="shared" si="14"/>
        <v>2054.96</v>
      </c>
    </row>
    <row r="942" spans="1:11">
      <c r="A942">
        <v>941</v>
      </c>
      <c r="B942" s="1">
        <v>45319</v>
      </c>
      <c r="C942" t="s">
        <v>23</v>
      </c>
      <c r="D942" t="s">
        <v>15</v>
      </c>
      <c r="E942">
        <v>633.11</v>
      </c>
      <c r="F942">
        <v>1</v>
      </c>
      <c r="G942">
        <v>0.08</v>
      </c>
      <c r="H942">
        <v>0.14000000000000001</v>
      </c>
      <c r="I942" t="s">
        <v>21</v>
      </c>
      <c r="J942" t="s">
        <v>116</v>
      </c>
      <c r="K942">
        <f t="shared" si="14"/>
        <v>633.11</v>
      </c>
    </row>
    <row r="943" spans="1:11">
      <c r="A943">
        <v>942</v>
      </c>
      <c r="B943" s="1">
        <v>45644</v>
      </c>
      <c r="C943" t="s">
        <v>31</v>
      </c>
      <c r="D943" t="s">
        <v>11</v>
      </c>
      <c r="E943">
        <v>880.1</v>
      </c>
      <c r="F943">
        <v>1</v>
      </c>
      <c r="G943">
        <v>0.11</v>
      </c>
      <c r="H943">
        <v>0.12</v>
      </c>
      <c r="I943" t="s">
        <v>12</v>
      </c>
      <c r="J943" t="s">
        <v>314</v>
      </c>
      <c r="K943">
        <f t="shared" si="14"/>
        <v>880.1</v>
      </c>
    </row>
    <row r="944" spans="1:11">
      <c r="A944">
        <v>943</v>
      </c>
      <c r="B944" s="1">
        <v>45499</v>
      </c>
      <c r="C944" t="s">
        <v>26</v>
      </c>
      <c r="D944" t="s">
        <v>11</v>
      </c>
      <c r="E944">
        <v>771.25</v>
      </c>
      <c r="F944">
        <v>3</v>
      </c>
      <c r="G944">
        <v>0.2</v>
      </c>
      <c r="H944">
        <v>0.4</v>
      </c>
      <c r="I944" t="s">
        <v>16</v>
      </c>
      <c r="J944" t="s">
        <v>18</v>
      </c>
      <c r="K944">
        <f t="shared" si="14"/>
        <v>2313.75</v>
      </c>
    </row>
    <row r="945" spans="1:11">
      <c r="A945">
        <v>944</v>
      </c>
      <c r="B945" s="1">
        <v>45508</v>
      </c>
      <c r="C945" t="s">
        <v>10</v>
      </c>
      <c r="D945" t="s">
        <v>11</v>
      </c>
      <c r="E945">
        <v>193.36</v>
      </c>
      <c r="F945">
        <v>4</v>
      </c>
      <c r="G945">
        <v>0.12</v>
      </c>
      <c r="H945">
        <v>0.13</v>
      </c>
      <c r="I945" t="s">
        <v>12</v>
      </c>
      <c r="J945" t="s">
        <v>118</v>
      </c>
      <c r="K945">
        <f t="shared" si="14"/>
        <v>773.44</v>
      </c>
    </row>
    <row r="946" spans="1:11">
      <c r="A946">
        <v>945</v>
      </c>
      <c r="B946" s="1">
        <v>45537</v>
      </c>
      <c r="C946" t="s">
        <v>26</v>
      </c>
      <c r="D946" t="s">
        <v>11</v>
      </c>
      <c r="E946">
        <v>636.87</v>
      </c>
      <c r="F946">
        <v>2</v>
      </c>
      <c r="G946">
        <v>0.18</v>
      </c>
      <c r="H946">
        <v>0.28000000000000003</v>
      </c>
      <c r="I946" t="s">
        <v>12</v>
      </c>
      <c r="J946" t="s">
        <v>251</v>
      </c>
      <c r="K946">
        <f t="shared" si="14"/>
        <v>1273.74</v>
      </c>
    </row>
    <row r="947" spans="1:11">
      <c r="A947">
        <v>946</v>
      </c>
      <c r="B947" s="1">
        <v>45501</v>
      </c>
      <c r="C947" t="s">
        <v>31</v>
      </c>
      <c r="D947" t="s">
        <v>11</v>
      </c>
      <c r="E947">
        <v>981.14</v>
      </c>
      <c r="F947">
        <v>1</v>
      </c>
      <c r="G947">
        <v>0.28000000000000003</v>
      </c>
      <c r="H947">
        <v>0.28999999999999998</v>
      </c>
      <c r="I947" t="s">
        <v>24</v>
      </c>
      <c r="J947" t="s">
        <v>204</v>
      </c>
      <c r="K947">
        <f t="shared" si="14"/>
        <v>981.14</v>
      </c>
    </row>
    <row r="948" spans="1:11">
      <c r="A948">
        <v>947</v>
      </c>
      <c r="B948" s="1">
        <v>45597</v>
      </c>
      <c r="C948" t="s">
        <v>23</v>
      </c>
      <c r="D948" t="s">
        <v>15</v>
      </c>
      <c r="E948">
        <v>316.52</v>
      </c>
      <c r="F948">
        <v>2</v>
      </c>
      <c r="G948">
        <v>0.14000000000000001</v>
      </c>
      <c r="H948">
        <v>0.28000000000000003</v>
      </c>
      <c r="I948" t="s">
        <v>24</v>
      </c>
      <c r="J948" t="s">
        <v>159</v>
      </c>
      <c r="K948">
        <f t="shared" si="14"/>
        <v>633.04</v>
      </c>
    </row>
    <row r="949" spans="1:11">
      <c r="A949">
        <v>948</v>
      </c>
      <c r="B949" s="1">
        <v>45479</v>
      </c>
      <c r="C949" t="s">
        <v>23</v>
      </c>
      <c r="D949" t="s">
        <v>15</v>
      </c>
      <c r="E949">
        <v>617.16</v>
      </c>
      <c r="F949">
        <v>4</v>
      </c>
      <c r="G949">
        <v>0.09</v>
      </c>
      <c r="H949">
        <v>0.15</v>
      </c>
      <c r="I949" t="s">
        <v>21</v>
      </c>
      <c r="J949" t="s">
        <v>36</v>
      </c>
      <c r="K949">
        <f t="shared" si="14"/>
        <v>2468.64</v>
      </c>
    </row>
    <row r="950" spans="1:11">
      <c r="A950">
        <v>949</v>
      </c>
      <c r="B950" s="1">
        <v>45551</v>
      </c>
      <c r="C950" t="s">
        <v>14</v>
      </c>
      <c r="D950" t="s">
        <v>15</v>
      </c>
      <c r="E950">
        <v>264.92</v>
      </c>
      <c r="F950">
        <v>1</v>
      </c>
      <c r="G950">
        <v>0.19</v>
      </c>
      <c r="H950">
        <v>0.31</v>
      </c>
      <c r="I950" t="s">
        <v>21</v>
      </c>
      <c r="J950" t="s">
        <v>182</v>
      </c>
      <c r="K950">
        <f t="shared" si="14"/>
        <v>264.92</v>
      </c>
    </row>
    <row r="951" spans="1:11">
      <c r="A951">
        <v>950</v>
      </c>
      <c r="B951" s="1">
        <v>45544</v>
      </c>
      <c r="C951" t="s">
        <v>23</v>
      </c>
      <c r="D951" t="s">
        <v>15</v>
      </c>
      <c r="E951">
        <v>839.74</v>
      </c>
      <c r="F951">
        <v>2</v>
      </c>
      <c r="G951">
        <v>0.26</v>
      </c>
      <c r="H951">
        <v>0.27</v>
      </c>
      <c r="I951" t="s">
        <v>21</v>
      </c>
      <c r="J951" t="s">
        <v>255</v>
      </c>
      <c r="K951">
        <f t="shared" si="14"/>
        <v>1679.48</v>
      </c>
    </row>
    <row r="952" spans="1:11">
      <c r="A952">
        <v>951</v>
      </c>
      <c r="B952" s="1">
        <v>45574</v>
      </c>
      <c r="C952" t="s">
        <v>20</v>
      </c>
      <c r="D952" t="s">
        <v>15</v>
      </c>
      <c r="E952">
        <v>400.04</v>
      </c>
      <c r="F952">
        <v>4</v>
      </c>
      <c r="G952">
        <v>0.16</v>
      </c>
      <c r="H952">
        <v>0.12</v>
      </c>
      <c r="I952" t="s">
        <v>12</v>
      </c>
      <c r="J952" t="s">
        <v>307</v>
      </c>
      <c r="K952">
        <f t="shared" si="14"/>
        <v>1600.16</v>
      </c>
    </row>
    <row r="953" spans="1:11">
      <c r="A953">
        <v>952</v>
      </c>
      <c r="B953" s="1">
        <v>45307</v>
      </c>
      <c r="C953" t="s">
        <v>31</v>
      </c>
      <c r="D953" t="s">
        <v>11</v>
      </c>
      <c r="E953">
        <v>899.34</v>
      </c>
      <c r="F953">
        <v>1</v>
      </c>
      <c r="G953">
        <v>0.12</v>
      </c>
      <c r="H953">
        <v>0.19</v>
      </c>
      <c r="I953" t="s">
        <v>12</v>
      </c>
      <c r="J953" t="s">
        <v>295</v>
      </c>
      <c r="K953">
        <f t="shared" si="14"/>
        <v>899.34</v>
      </c>
    </row>
    <row r="954" spans="1:11">
      <c r="A954">
        <v>953</v>
      </c>
      <c r="B954" s="1">
        <v>45308</v>
      </c>
      <c r="C954" t="s">
        <v>10</v>
      </c>
      <c r="D954" t="s">
        <v>11</v>
      </c>
      <c r="E954">
        <v>848.57</v>
      </c>
      <c r="F954">
        <v>3</v>
      </c>
      <c r="G954">
        <v>0.13</v>
      </c>
      <c r="H954">
        <v>0.28000000000000003</v>
      </c>
      <c r="I954" t="s">
        <v>16</v>
      </c>
      <c r="J954" t="s">
        <v>208</v>
      </c>
      <c r="K954">
        <f t="shared" si="14"/>
        <v>2545.71</v>
      </c>
    </row>
    <row r="955" spans="1:11">
      <c r="A955">
        <v>954</v>
      </c>
      <c r="B955" s="1">
        <v>45321</v>
      </c>
      <c r="C955" t="s">
        <v>20</v>
      </c>
      <c r="D955" t="s">
        <v>15</v>
      </c>
      <c r="E955">
        <v>797.4</v>
      </c>
      <c r="F955">
        <v>2</v>
      </c>
      <c r="G955">
        <v>0.14000000000000001</v>
      </c>
      <c r="H955">
        <v>0.25</v>
      </c>
      <c r="I955" t="s">
        <v>21</v>
      </c>
      <c r="J955" t="s">
        <v>90</v>
      </c>
      <c r="K955">
        <f t="shared" si="14"/>
        <v>1594.8</v>
      </c>
    </row>
    <row r="956" spans="1:11">
      <c r="A956">
        <v>955</v>
      </c>
      <c r="B956" s="1">
        <v>45583</v>
      </c>
      <c r="C956" t="s">
        <v>20</v>
      </c>
      <c r="D956" t="s">
        <v>15</v>
      </c>
      <c r="E956">
        <v>143.28</v>
      </c>
      <c r="F956">
        <v>3</v>
      </c>
      <c r="G956">
        <v>0.24</v>
      </c>
      <c r="H956">
        <v>0.37</v>
      </c>
      <c r="I956" t="s">
        <v>12</v>
      </c>
      <c r="J956" t="s">
        <v>243</v>
      </c>
      <c r="K956">
        <f t="shared" si="14"/>
        <v>429.84000000000003</v>
      </c>
    </row>
    <row r="957" spans="1:11">
      <c r="A957">
        <v>956</v>
      </c>
      <c r="B957" s="1">
        <v>45637</v>
      </c>
      <c r="C957" t="s">
        <v>23</v>
      </c>
      <c r="D957" t="s">
        <v>15</v>
      </c>
      <c r="E957">
        <v>1180.6199999999999</v>
      </c>
      <c r="F957">
        <v>5</v>
      </c>
      <c r="G957">
        <v>0.06</v>
      </c>
      <c r="H957">
        <v>0.3</v>
      </c>
      <c r="I957" t="s">
        <v>24</v>
      </c>
      <c r="J957" t="s">
        <v>90</v>
      </c>
      <c r="K957">
        <f t="shared" si="14"/>
        <v>5903.0999999999995</v>
      </c>
    </row>
    <row r="958" spans="1:11">
      <c r="A958">
        <v>957</v>
      </c>
      <c r="B958" s="1">
        <v>45443</v>
      </c>
      <c r="C958" t="s">
        <v>10</v>
      </c>
      <c r="D958" t="s">
        <v>11</v>
      </c>
      <c r="E958">
        <v>1457.14</v>
      </c>
      <c r="F958">
        <v>5</v>
      </c>
      <c r="G958">
        <v>0.12</v>
      </c>
      <c r="H958">
        <v>0.28000000000000003</v>
      </c>
      <c r="I958" t="s">
        <v>21</v>
      </c>
      <c r="J958" t="s">
        <v>143</v>
      </c>
      <c r="K958">
        <f t="shared" si="14"/>
        <v>7285.7000000000007</v>
      </c>
    </row>
    <row r="959" spans="1:11">
      <c r="A959">
        <v>958</v>
      </c>
      <c r="B959" s="1">
        <v>45321</v>
      </c>
      <c r="C959" t="s">
        <v>31</v>
      </c>
      <c r="D959" t="s">
        <v>11</v>
      </c>
      <c r="E959">
        <v>623</v>
      </c>
      <c r="F959">
        <v>5</v>
      </c>
      <c r="G959">
        <v>0.13</v>
      </c>
      <c r="H959">
        <v>0.4</v>
      </c>
      <c r="I959" t="s">
        <v>12</v>
      </c>
      <c r="J959" t="s">
        <v>186</v>
      </c>
      <c r="K959">
        <f t="shared" si="14"/>
        <v>3115</v>
      </c>
    </row>
    <row r="960" spans="1:11">
      <c r="A960">
        <v>959</v>
      </c>
      <c r="B960" s="1">
        <v>45641</v>
      </c>
      <c r="C960" t="s">
        <v>20</v>
      </c>
      <c r="D960" t="s">
        <v>15</v>
      </c>
      <c r="E960">
        <v>1016.57</v>
      </c>
      <c r="F960">
        <v>1</v>
      </c>
      <c r="G960">
        <v>0.04</v>
      </c>
      <c r="H960">
        <v>0.34</v>
      </c>
      <c r="I960" t="s">
        <v>24</v>
      </c>
      <c r="J960" t="s">
        <v>306</v>
      </c>
      <c r="K960">
        <f t="shared" si="14"/>
        <v>1016.57</v>
      </c>
    </row>
    <row r="961" spans="1:11">
      <c r="A961">
        <v>960</v>
      </c>
      <c r="B961" s="1">
        <v>45320</v>
      </c>
      <c r="C961" t="s">
        <v>31</v>
      </c>
      <c r="D961" t="s">
        <v>11</v>
      </c>
      <c r="E961">
        <v>57.55</v>
      </c>
      <c r="F961">
        <v>1</v>
      </c>
      <c r="G961">
        <v>0.26</v>
      </c>
      <c r="H961">
        <v>0.1</v>
      </c>
      <c r="I961" t="s">
        <v>21</v>
      </c>
      <c r="J961" t="s">
        <v>252</v>
      </c>
      <c r="K961">
        <f t="shared" si="14"/>
        <v>57.55</v>
      </c>
    </row>
    <row r="962" spans="1:11">
      <c r="A962">
        <v>961</v>
      </c>
      <c r="B962" s="1">
        <v>45463</v>
      </c>
      <c r="C962" t="s">
        <v>10</v>
      </c>
      <c r="D962" t="s">
        <v>11</v>
      </c>
      <c r="E962">
        <v>438.49</v>
      </c>
      <c r="F962">
        <v>5</v>
      </c>
      <c r="G962">
        <v>0.13</v>
      </c>
      <c r="H962">
        <v>0.28999999999999998</v>
      </c>
      <c r="I962" t="s">
        <v>24</v>
      </c>
      <c r="J962" t="s">
        <v>212</v>
      </c>
      <c r="K962">
        <f t="shared" si="14"/>
        <v>2192.4499999999998</v>
      </c>
    </row>
    <row r="963" spans="1:11">
      <c r="A963">
        <v>962</v>
      </c>
      <c r="B963" s="1">
        <v>45477</v>
      </c>
      <c r="C963" t="s">
        <v>26</v>
      </c>
      <c r="D963" t="s">
        <v>11</v>
      </c>
      <c r="E963">
        <v>105.48</v>
      </c>
      <c r="F963">
        <v>3</v>
      </c>
      <c r="G963">
        <v>0.06</v>
      </c>
      <c r="H963">
        <v>0.24</v>
      </c>
      <c r="I963" t="s">
        <v>21</v>
      </c>
      <c r="J963" t="s">
        <v>102</v>
      </c>
      <c r="K963">
        <f t="shared" si="14"/>
        <v>316.44</v>
      </c>
    </row>
    <row r="964" spans="1:11">
      <c r="A964">
        <v>963</v>
      </c>
      <c r="B964" s="1">
        <v>45501</v>
      </c>
      <c r="C964" t="s">
        <v>10</v>
      </c>
      <c r="D964" t="s">
        <v>11</v>
      </c>
      <c r="E964">
        <v>677.8</v>
      </c>
      <c r="F964">
        <v>3</v>
      </c>
      <c r="G964">
        <v>0.06</v>
      </c>
      <c r="H964">
        <v>0.23</v>
      </c>
      <c r="I964" t="s">
        <v>24</v>
      </c>
      <c r="J964" t="s">
        <v>60</v>
      </c>
      <c r="K964">
        <f t="shared" ref="K964:K1027" si="15">E964*F964</f>
        <v>2033.3999999999999</v>
      </c>
    </row>
    <row r="965" spans="1:11">
      <c r="A965">
        <v>964</v>
      </c>
      <c r="B965" s="1">
        <v>45463</v>
      </c>
      <c r="C965" t="s">
        <v>20</v>
      </c>
      <c r="D965" t="s">
        <v>15</v>
      </c>
      <c r="E965">
        <v>415.1</v>
      </c>
      <c r="F965">
        <v>2</v>
      </c>
      <c r="G965">
        <v>0.24</v>
      </c>
      <c r="H965">
        <v>0.27</v>
      </c>
      <c r="I965" t="s">
        <v>21</v>
      </c>
      <c r="J965" t="s">
        <v>264</v>
      </c>
      <c r="K965">
        <f t="shared" si="15"/>
        <v>830.2</v>
      </c>
    </row>
    <row r="966" spans="1:11">
      <c r="A966">
        <v>965</v>
      </c>
      <c r="B966" s="1">
        <v>45346</v>
      </c>
      <c r="C966" t="s">
        <v>14</v>
      </c>
      <c r="D966" t="s">
        <v>15</v>
      </c>
      <c r="E966">
        <v>1404.68</v>
      </c>
      <c r="F966">
        <v>2</v>
      </c>
      <c r="G966">
        <v>0.24</v>
      </c>
      <c r="H966">
        <v>0.28000000000000003</v>
      </c>
      <c r="I966" t="s">
        <v>24</v>
      </c>
      <c r="J966" t="s">
        <v>81</v>
      </c>
      <c r="K966">
        <f t="shared" si="15"/>
        <v>2809.36</v>
      </c>
    </row>
    <row r="967" spans="1:11">
      <c r="A967">
        <v>966</v>
      </c>
      <c r="B967" s="1">
        <v>45556</v>
      </c>
      <c r="C967" t="s">
        <v>20</v>
      </c>
      <c r="D967" t="s">
        <v>15</v>
      </c>
      <c r="E967">
        <v>389.91</v>
      </c>
      <c r="F967">
        <v>4</v>
      </c>
      <c r="G967">
        <v>0.12</v>
      </c>
      <c r="H967">
        <v>0.1</v>
      </c>
      <c r="I967" t="s">
        <v>24</v>
      </c>
      <c r="J967" t="s">
        <v>39</v>
      </c>
      <c r="K967">
        <f t="shared" si="15"/>
        <v>1559.64</v>
      </c>
    </row>
    <row r="968" spans="1:11">
      <c r="A968">
        <v>967</v>
      </c>
      <c r="B968" s="1">
        <v>45621</v>
      </c>
      <c r="C968" t="s">
        <v>26</v>
      </c>
      <c r="D968" t="s">
        <v>11</v>
      </c>
      <c r="E968">
        <v>56.01</v>
      </c>
      <c r="F968">
        <v>5</v>
      </c>
      <c r="G968">
        <v>0.18</v>
      </c>
      <c r="H968">
        <v>0.33</v>
      </c>
      <c r="I968" t="s">
        <v>21</v>
      </c>
      <c r="J968" t="s">
        <v>191</v>
      </c>
      <c r="K968">
        <f t="shared" si="15"/>
        <v>280.05</v>
      </c>
    </row>
    <row r="969" spans="1:11">
      <c r="A969">
        <v>968</v>
      </c>
      <c r="B969" s="1">
        <v>45630</v>
      </c>
      <c r="C969" t="s">
        <v>20</v>
      </c>
      <c r="D969" t="s">
        <v>15</v>
      </c>
      <c r="E969">
        <v>825.92</v>
      </c>
      <c r="F969">
        <v>2</v>
      </c>
      <c r="G969">
        <v>0.02</v>
      </c>
      <c r="H969">
        <v>0.23</v>
      </c>
      <c r="I969" t="s">
        <v>12</v>
      </c>
      <c r="J969" t="s">
        <v>60</v>
      </c>
      <c r="K969">
        <f t="shared" si="15"/>
        <v>1651.84</v>
      </c>
    </row>
    <row r="970" spans="1:11">
      <c r="A970">
        <v>969</v>
      </c>
      <c r="B970" s="1">
        <v>45402</v>
      </c>
      <c r="C970" t="s">
        <v>31</v>
      </c>
      <c r="D970" t="s">
        <v>11</v>
      </c>
      <c r="E970">
        <v>1119.8800000000001</v>
      </c>
      <c r="F970">
        <v>5</v>
      </c>
      <c r="G970">
        <v>0.12</v>
      </c>
      <c r="H970">
        <v>0.12</v>
      </c>
      <c r="I970" t="s">
        <v>12</v>
      </c>
      <c r="J970" t="s">
        <v>133</v>
      </c>
      <c r="K970">
        <f t="shared" si="15"/>
        <v>5599.4000000000005</v>
      </c>
    </row>
    <row r="971" spans="1:11">
      <c r="A971">
        <v>970</v>
      </c>
      <c r="B971" s="1">
        <v>45413</v>
      </c>
      <c r="C971" t="s">
        <v>31</v>
      </c>
      <c r="D971" t="s">
        <v>11</v>
      </c>
      <c r="E971">
        <v>1285.8399999999999</v>
      </c>
      <c r="F971">
        <v>5</v>
      </c>
      <c r="G971">
        <v>0.14000000000000001</v>
      </c>
      <c r="H971">
        <v>0.21</v>
      </c>
      <c r="I971" t="s">
        <v>12</v>
      </c>
      <c r="J971" t="s">
        <v>288</v>
      </c>
      <c r="K971">
        <f t="shared" si="15"/>
        <v>6429.2</v>
      </c>
    </row>
    <row r="972" spans="1:11">
      <c r="A972">
        <v>971</v>
      </c>
      <c r="B972" s="1">
        <v>45427</v>
      </c>
      <c r="C972" t="s">
        <v>20</v>
      </c>
      <c r="D972" t="s">
        <v>15</v>
      </c>
      <c r="E972">
        <v>239.36</v>
      </c>
      <c r="F972">
        <v>4</v>
      </c>
      <c r="G972">
        <v>0</v>
      </c>
      <c r="H972">
        <v>0.11</v>
      </c>
      <c r="I972" t="s">
        <v>16</v>
      </c>
      <c r="J972" t="s">
        <v>208</v>
      </c>
      <c r="K972">
        <f t="shared" si="15"/>
        <v>957.44</v>
      </c>
    </row>
    <row r="973" spans="1:11">
      <c r="A973">
        <v>972</v>
      </c>
      <c r="B973" s="1">
        <v>45625</v>
      </c>
      <c r="C973" t="s">
        <v>23</v>
      </c>
      <c r="D973" t="s">
        <v>15</v>
      </c>
      <c r="E973">
        <v>871.45</v>
      </c>
      <c r="F973">
        <v>5</v>
      </c>
      <c r="G973">
        <v>0.3</v>
      </c>
      <c r="H973">
        <v>0.16</v>
      </c>
      <c r="I973" t="s">
        <v>21</v>
      </c>
      <c r="J973" t="s">
        <v>227</v>
      </c>
      <c r="K973">
        <f t="shared" si="15"/>
        <v>4357.25</v>
      </c>
    </row>
    <row r="974" spans="1:11">
      <c r="A974">
        <v>973</v>
      </c>
      <c r="B974" s="1">
        <v>45517</v>
      </c>
      <c r="C974" t="s">
        <v>23</v>
      </c>
      <c r="D974" t="s">
        <v>15</v>
      </c>
      <c r="E974">
        <v>1440.69</v>
      </c>
      <c r="F974">
        <v>1</v>
      </c>
      <c r="G974">
        <v>0.28000000000000003</v>
      </c>
      <c r="H974">
        <v>0.33</v>
      </c>
      <c r="I974" t="s">
        <v>21</v>
      </c>
      <c r="J974" t="s">
        <v>170</v>
      </c>
      <c r="K974">
        <f t="shared" si="15"/>
        <v>1440.69</v>
      </c>
    </row>
    <row r="975" spans="1:11">
      <c r="A975">
        <v>974</v>
      </c>
      <c r="B975" s="1">
        <v>45499</v>
      </c>
      <c r="C975" t="s">
        <v>23</v>
      </c>
      <c r="D975" t="s">
        <v>15</v>
      </c>
      <c r="E975">
        <v>298.27999999999997</v>
      </c>
      <c r="F975">
        <v>1</v>
      </c>
      <c r="G975">
        <v>0.19</v>
      </c>
      <c r="H975">
        <v>0.11</v>
      </c>
      <c r="I975" t="s">
        <v>21</v>
      </c>
      <c r="J975" t="s">
        <v>18</v>
      </c>
      <c r="K975">
        <f t="shared" si="15"/>
        <v>298.27999999999997</v>
      </c>
    </row>
    <row r="976" spans="1:11">
      <c r="A976">
        <v>975</v>
      </c>
      <c r="B976" s="1">
        <v>45479</v>
      </c>
      <c r="C976" t="s">
        <v>10</v>
      </c>
      <c r="D976" t="s">
        <v>11</v>
      </c>
      <c r="E976">
        <v>1267.19</v>
      </c>
      <c r="F976">
        <v>1</v>
      </c>
      <c r="G976">
        <v>0.02</v>
      </c>
      <c r="H976">
        <v>0.15</v>
      </c>
      <c r="I976" t="s">
        <v>21</v>
      </c>
      <c r="J976" t="s">
        <v>263</v>
      </c>
      <c r="K976">
        <f t="shared" si="15"/>
        <v>1267.19</v>
      </c>
    </row>
    <row r="977" spans="1:11">
      <c r="A977">
        <v>976</v>
      </c>
      <c r="B977" s="1">
        <v>45425</v>
      </c>
      <c r="C977" t="s">
        <v>26</v>
      </c>
      <c r="D977" t="s">
        <v>11</v>
      </c>
      <c r="E977">
        <v>206.84</v>
      </c>
      <c r="F977">
        <v>1</v>
      </c>
      <c r="G977">
        <v>0.05</v>
      </c>
      <c r="H977">
        <v>0.12</v>
      </c>
      <c r="I977" t="s">
        <v>21</v>
      </c>
      <c r="J977" t="s">
        <v>58</v>
      </c>
      <c r="K977">
        <f t="shared" si="15"/>
        <v>206.84</v>
      </c>
    </row>
    <row r="978" spans="1:11">
      <c r="A978">
        <v>977</v>
      </c>
      <c r="B978" s="1">
        <v>45334</v>
      </c>
      <c r="C978" t="s">
        <v>14</v>
      </c>
      <c r="D978" t="s">
        <v>15</v>
      </c>
      <c r="E978">
        <v>1034.3599999999999</v>
      </c>
      <c r="F978">
        <v>3</v>
      </c>
      <c r="G978">
        <v>0.01</v>
      </c>
      <c r="H978">
        <v>0.38</v>
      </c>
      <c r="I978" t="s">
        <v>21</v>
      </c>
      <c r="J978" t="s">
        <v>306</v>
      </c>
      <c r="K978">
        <f t="shared" si="15"/>
        <v>3103.08</v>
      </c>
    </row>
    <row r="979" spans="1:11">
      <c r="A979">
        <v>978</v>
      </c>
      <c r="B979" s="1">
        <v>45383</v>
      </c>
      <c r="C979" t="s">
        <v>10</v>
      </c>
      <c r="D979" t="s">
        <v>11</v>
      </c>
      <c r="E979">
        <v>843.23</v>
      </c>
      <c r="F979">
        <v>2</v>
      </c>
      <c r="G979">
        <v>0.2</v>
      </c>
      <c r="H979">
        <v>0.15</v>
      </c>
      <c r="I979" t="s">
        <v>12</v>
      </c>
      <c r="J979" t="s">
        <v>291</v>
      </c>
      <c r="K979">
        <f t="shared" si="15"/>
        <v>1686.46</v>
      </c>
    </row>
    <row r="980" spans="1:11">
      <c r="A980">
        <v>979</v>
      </c>
      <c r="B980" s="1">
        <v>45511</v>
      </c>
      <c r="C980" t="s">
        <v>26</v>
      </c>
      <c r="D980" t="s">
        <v>11</v>
      </c>
      <c r="E980">
        <v>971.68</v>
      </c>
      <c r="F980">
        <v>3</v>
      </c>
      <c r="G980">
        <v>0.23</v>
      </c>
      <c r="H980">
        <v>0.22</v>
      </c>
      <c r="I980" t="s">
        <v>21</v>
      </c>
      <c r="J980" t="s">
        <v>269</v>
      </c>
      <c r="K980">
        <f t="shared" si="15"/>
        <v>2915.04</v>
      </c>
    </row>
    <row r="981" spans="1:11">
      <c r="A981">
        <v>980</v>
      </c>
      <c r="B981" s="1">
        <v>45297</v>
      </c>
      <c r="C981" t="s">
        <v>26</v>
      </c>
      <c r="D981" t="s">
        <v>11</v>
      </c>
      <c r="E981">
        <v>519.66999999999996</v>
      </c>
      <c r="F981">
        <v>1</v>
      </c>
      <c r="G981">
        <v>0.03</v>
      </c>
      <c r="H981">
        <v>0.39</v>
      </c>
      <c r="I981" t="s">
        <v>24</v>
      </c>
      <c r="J981" t="s">
        <v>229</v>
      </c>
      <c r="K981">
        <f t="shared" si="15"/>
        <v>519.66999999999996</v>
      </c>
    </row>
    <row r="982" spans="1:11">
      <c r="A982">
        <v>981</v>
      </c>
      <c r="B982" s="1">
        <v>45409</v>
      </c>
      <c r="C982" t="s">
        <v>14</v>
      </c>
      <c r="D982" t="s">
        <v>15</v>
      </c>
      <c r="E982">
        <v>1099.77</v>
      </c>
      <c r="F982">
        <v>5</v>
      </c>
      <c r="G982">
        <v>7.0000000000000007E-2</v>
      </c>
      <c r="H982">
        <v>0.13</v>
      </c>
      <c r="I982" t="s">
        <v>24</v>
      </c>
      <c r="J982" t="s">
        <v>78</v>
      </c>
      <c r="K982">
        <f t="shared" si="15"/>
        <v>5498.85</v>
      </c>
    </row>
    <row r="983" spans="1:11">
      <c r="A983">
        <v>982</v>
      </c>
      <c r="B983" s="1">
        <v>45466</v>
      </c>
      <c r="C983" t="s">
        <v>14</v>
      </c>
      <c r="D983" t="s">
        <v>15</v>
      </c>
      <c r="E983">
        <v>935.86</v>
      </c>
      <c r="F983">
        <v>2</v>
      </c>
      <c r="G983">
        <v>0.2</v>
      </c>
      <c r="H983">
        <v>0.26</v>
      </c>
      <c r="I983" t="s">
        <v>12</v>
      </c>
      <c r="J983" t="s">
        <v>254</v>
      </c>
      <c r="K983">
        <f t="shared" si="15"/>
        <v>1871.72</v>
      </c>
    </row>
    <row r="984" spans="1:11">
      <c r="A984">
        <v>983</v>
      </c>
      <c r="B984" s="1">
        <v>45494</v>
      </c>
      <c r="C984" t="s">
        <v>14</v>
      </c>
      <c r="D984" t="s">
        <v>15</v>
      </c>
      <c r="E984">
        <v>1385.59</v>
      </c>
      <c r="F984">
        <v>5</v>
      </c>
      <c r="G984">
        <v>0.08</v>
      </c>
      <c r="H984">
        <v>0.2</v>
      </c>
      <c r="I984" t="s">
        <v>21</v>
      </c>
      <c r="J984" t="s">
        <v>311</v>
      </c>
      <c r="K984">
        <f t="shared" si="15"/>
        <v>6927.95</v>
      </c>
    </row>
    <row r="985" spans="1:11">
      <c r="A985">
        <v>984</v>
      </c>
      <c r="B985" s="1">
        <v>45336</v>
      </c>
      <c r="C985" t="s">
        <v>14</v>
      </c>
      <c r="D985" t="s">
        <v>15</v>
      </c>
      <c r="E985">
        <v>1269.54</v>
      </c>
      <c r="F985">
        <v>5</v>
      </c>
      <c r="G985">
        <v>0.21</v>
      </c>
      <c r="H985">
        <v>0.39</v>
      </c>
      <c r="I985" t="s">
        <v>12</v>
      </c>
      <c r="J985" t="s">
        <v>116</v>
      </c>
      <c r="K985">
        <f t="shared" si="15"/>
        <v>6347.7</v>
      </c>
    </row>
    <row r="986" spans="1:11">
      <c r="A986">
        <v>985</v>
      </c>
      <c r="B986" s="1">
        <v>45505</v>
      </c>
      <c r="C986" t="s">
        <v>14</v>
      </c>
      <c r="D986" t="s">
        <v>15</v>
      </c>
      <c r="E986">
        <v>356.37</v>
      </c>
      <c r="F986">
        <v>1</v>
      </c>
      <c r="G986">
        <v>0.19</v>
      </c>
      <c r="H986">
        <v>0.32</v>
      </c>
      <c r="I986" t="s">
        <v>24</v>
      </c>
      <c r="J986" t="s">
        <v>244</v>
      </c>
      <c r="K986">
        <f t="shared" si="15"/>
        <v>356.37</v>
      </c>
    </row>
    <row r="987" spans="1:11">
      <c r="A987">
        <v>986</v>
      </c>
      <c r="B987" s="1">
        <v>45639</v>
      </c>
      <c r="C987" t="s">
        <v>23</v>
      </c>
      <c r="D987" t="s">
        <v>15</v>
      </c>
      <c r="E987">
        <v>291.82</v>
      </c>
      <c r="F987">
        <v>3</v>
      </c>
      <c r="G987">
        <v>0.1</v>
      </c>
      <c r="H987">
        <v>0.32</v>
      </c>
      <c r="I987" t="s">
        <v>24</v>
      </c>
      <c r="J987" t="s">
        <v>218</v>
      </c>
      <c r="K987">
        <f t="shared" si="15"/>
        <v>875.46</v>
      </c>
    </row>
    <row r="988" spans="1:11">
      <c r="A988">
        <v>987</v>
      </c>
      <c r="B988" s="1">
        <v>45544</v>
      </c>
      <c r="C988" t="s">
        <v>23</v>
      </c>
      <c r="D988" t="s">
        <v>15</v>
      </c>
      <c r="E988">
        <v>1104.05</v>
      </c>
      <c r="F988">
        <v>1</v>
      </c>
      <c r="G988">
        <v>0.25</v>
      </c>
      <c r="H988">
        <v>0.34</v>
      </c>
      <c r="I988" t="s">
        <v>12</v>
      </c>
      <c r="J988" t="s">
        <v>154</v>
      </c>
      <c r="K988">
        <f t="shared" si="15"/>
        <v>1104.05</v>
      </c>
    </row>
    <row r="989" spans="1:11">
      <c r="A989">
        <v>988</v>
      </c>
      <c r="B989" s="1">
        <v>45459</v>
      </c>
      <c r="C989" t="s">
        <v>23</v>
      </c>
      <c r="D989" t="s">
        <v>15</v>
      </c>
      <c r="E989">
        <v>292.31</v>
      </c>
      <c r="F989">
        <v>5</v>
      </c>
      <c r="G989">
        <v>0.21</v>
      </c>
      <c r="H989">
        <v>0.14000000000000001</v>
      </c>
      <c r="I989" t="s">
        <v>12</v>
      </c>
      <c r="J989" t="s">
        <v>234</v>
      </c>
      <c r="K989">
        <f t="shared" si="15"/>
        <v>1461.55</v>
      </c>
    </row>
    <row r="990" spans="1:11">
      <c r="A990">
        <v>989</v>
      </c>
      <c r="B990" s="1">
        <v>45441</v>
      </c>
      <c r="C990" t="s">
        <v>14</v>
      </c>
      <c r="D990" t="s">
        <v>15</v>
      </c>
      <c r="E990">
        <v>834.17</v>
      </c>
      <c r="F990">
        <v>5</v>
      </c>
      <c r="G990">
        <v>0.19</v>
      </c>
      <c r="H990">
        <v>0.27</v>
      </c>
      <c r="I990" t="s">
        <v>16</v>
      </c>
      <c r="J990" t="s">
        <v>67</v>
      </c>
      <c r="K990">
        <f t="shared" si="15"/>
        <v>4170.8499999999995</v>
      </c>
    </row>
    <row r="991" spans="1:11">
      <c r="A991">
        <v>990</v>
      </c>
      <c r="B991" s="1">
        <v>45527</v>
      </c>
      <c r="C991" t="s">
        <v>31</v>
      </c>
      <c r="D991" t="s">
        <v>11</v>
      </c>
      <c r="E991">
        <v>224.45</v>
      </c>
      <c r="F991">
        <v>3</v>
      </c>
      <c r="G991">
        <v>0.12</v>
      </c>
      <c r="H991">
        <v>0.14000000000000001</v>
      </c>
      <c r="I991" t="s">
        <v>12</v>
      </c>
      <c r="J991" t="s">
        <v>315</v>
      </c>
      <c r="K991">
        <f t="shared" si="15"/>
        <v>673.34999999999991</v>
      </c>
    </row>
    <row r="992" spans="1:11">
      <c r="A992">
        <v>991</v>
      </c>
      <c r="B992" s="1">
        <v>45356</v>
      </c>
      <c r="C992" t="s">
        <v>31</v>
      </c>
      <c r="D992" t="s">
        <v>11</v>
      </c>
      <c r="E992">
        <v>1102.01</v>
      </c>
      <c r="F992">
        <v>5</v>
      </c>
      <c r="G992">
        <v>0.13</v>
      </c>
      <c r="H992">
        <v>0.14000000000000001</v>
      </c>
      <c r="I992" t="s">
        <v>24</v>
      </c>
      <c r="J992" t="s">
        <v>209</v>
      </c>
      <c r="K992">
        <f t="shared" si="15"/>
        <v>5510.05</v>
      </c>
    </row>
    <row r="993" spans="1:11">
      <c r="A993">
        <v>992</v>
      </c>
      <c r="B993" s="1">
        <v>45643</v>
      </c>
      <c r="C993" t="s">
        <v>23</v>
      </c>
      <c r="D993" t="s">
        <v>15</v>
      </c>
      <c r="E993">
        <v>547.71</v>
      </c>
      <c r="F993">
        <v>3</v>
      </c>
      <c r="G993">
        <v>0.2</v>
      </c>
      <c r="H993">
        <v>0.25</v>
      </c>
      <c r="I993" t="s">
        <v>24</v>
      </c>
      <c r="J993" t="s">
        <v>275</v>
      </c>
      <c r="K993">
        <f t="shared" si="15"/>
        <v>1643.13</v>
      </c>
    </row>
    <row r="994" spans="1:11">
      <c r="A994">
        <v>993</v>
      </c>
      <c r="B994" s="1">
        <v>45604</v>
      </c>
      <c r="C994" t="s">
        <v>31</v>
      </c>
      <c r="D994" t="s">
        <v>11</v>
      </c>
      <c r="E994">
        <v>552.77</v>
      </c>
      <c r="F994">
        <v>3</v>
      </c>
      <c r="G994">
        <v>0.1</v>
      </c>
      <c r="H994">
        <v>0.17</v>
      </c>
      <c r="I994" t="s">
        <v>21</v>
      </c>
      <c r="J994" t="s">
        <v>270</v>
      </c>
      <c r="K994">
        <f t="shared" si="15"/>
        <v>1658.31</v>
      </c>
    </row>
    <row r="995" spans="1:11">
      <c r="A995">
        <v>994</v>
      </c>
      <c r="B995" s="1">
        <v>45594</v>
      </c>
      <c r="C995" t="s">
        <v>10</v>
      </c>
      <c r="D995" t="s">
        <v>11</v>
      </c>
      <c r="E995">
        <v>318.25</v>
      </c>
      <c r="F995">
        <v>3</v>
      </c>
      <c r="G995">
        <v>0.17</v>
      </c>
      <c r="H995">
        <v>0.16</v>
      </c>
      <c r="I995" t="s">
        <v>16</v>
      </c>
      <c r="J995" t="s">
        <v>98</v>
      </c>
      <c r="K995">
        <f t="shared" si="15"/>
        <v>954.75</v>
      </c>
    </row>
    <row r="996" spans="1:11">
      <c r="A996">
        <v>995</v>
      </c>
      <c r="B996" s="1">
        <v>45638</v>
      </c>
      <c r="C996" t="s">
        <v>23</v>
      </c>
      <c r="D996" t="s">
        <v>15</v>
      </c>
      <c r="E996">
        <v>62.17</v>
      </c>
      <c r="F996">
        <v>2</v>
      </c>
      <c r="G996">
        <v>0.14000000000000001</v>
      </c>
      <c r="H996">
        <v>0.11</v>
      </c>
      <c r="I996" t="s">
        <v>21</v>
      </c>
      <c r="J996" t="s">
        <v>246</v>
      </c>
      <c r="K996">
        <f t="shared" si="15"/>
        <v>124.34</v>
      </c>
    </row>
    <row r="997" spans="1:11">
      <c r="A997">
        <v>996</v>
      </c>
      <c r="B997" s="1">
        <v>45312</v>
      </c>
      <c r="C997" t="s">
        <v>31</v>
      </c>
      <c r="D997" t="s">
        <v>11</v>
      </c>
      <c r="E997">
        <v>410.21</v>
      </c>
      <c r="F997">
        <v>1</v>
      </c>
      <c r="G997">
        <v>0.22</v>
      </c>
      <c r="H997">
        <v>0.22</v>
      </c>
      <c r="I997" t="s">
        <v>12</v>
      </c>
      <c r="J997" t="s">
        <v>192</v>
      </c>
      <c r="K997">
        <f t="shared" si="15"/>
        <v>410.21</v>
      </c>
    </row>
    <row r="998" spans="1:11">
      <c r="A998">
        <v>997</v>
      </c>
      <c r="B998" s="1">
        <v>45392</v>
      </c>
      <c r="C998" t="s">
        <v>20</v>
      </c>
      <c r="D998" t="s">
        <v>15</v>
      </c>
      <c r="E998">
        <v>1109.1600000000001</v>
      </c>
      <c r="F998">
        <v>5</v>
      </c>
      <c r="G998">
        <v>0.15</v>
      </c>
      <c r="H998">
        <v>0.14000000000000001</v>
      </c>
      <c r="I998" t="s">
        <v>21</v>
      </c>
      <c r="J998" t="s">
        <v>35</v>
      </c>
      <c r="K998">
        <f t="shared" si="15"/>
        <v>5545.8</v>
      </c>
    </row>
    <row r="999" spans="1:11">
      <c r="A999">
        <v>998</v>
      </c>
      <c r="B999" s="1">
        <v>45316</v>
      </c>
      <c r="C999" t="s">
        <v>10</v>
      </c>
      <c r="D999" t="s">
        <v>11</v>
      </c>
      <c r="E999">
        <v>1370.14</v>
      </c>
      <c r="F999">
        <v>4</v>
      </c>
      <c r="G999">
        <v>0.18</v>
      </c>
      <c r="H999">
        <v>0.25</v>
      </c>
      <c r="I999" t="s">
        <v>16</v>
      </c>
      <c r="J999" t="s">
        <v>140</v>
      </c>
      <c r="K999">
        <f t="shared" si="15"/>
        <v>5480.56</v>
      </c>
    </row>
    <row r="1000" spans="1:11">
      <c r="A1000">
        <v>999</v>
      </c>
      <c r="B1000" s="1">
        <v>45329</v>
      </c>
      <c r="C1000" t="s">
        <v>31</v>
      </c>
      <c r="D1000" t="s">
        <v>11</v>
      </c>
      <c r="E1000">
        <v>495.59</v>
      </c>
      <c r="F1000">
        <v>1</v>
      </c>
      <c r="G1000">
        <v>0.15</v>
      </c>
      <c r="H1000">
        <v>0.19</v>
      </c>
      <c r="I1000" t="s">
        <v>12</v>
      </c>
      <c r="J1000" t="s">
        <v>17</v>
      </c>
      <c r="K1000">
        <f t="shared" si="15"/>
        <v>495.59</v>
      </c>
    </row>
    <row r="1001" spans="1:11">
      <c r="A1001">
        <v>1000</v>
      </c>
      <c r="B1001" s="1">
        <v>45646</v>
      </c>
      <c r="C1001" t="s">
        <v>10</v>
      </c>
      <c r="D1001" t="s">
        <v>11</v>
      </c>
      <c r="E1001">
        <v>159.68</v>
      </c>
      <c r="F1001">
        <v>3</v>
      </c>
      <c r="G1001">
        <v>0.18</v>
      </c>
      <c r="H1001">
        <v>0.38</v>
      </c>
      <c r="I1001" t="s">
        <v>24</v>
      </c>
      <c r="J1001" t="s">
        <v>57</v>
      </c>
      <c r="K1001">
        <f t="shared" si="15"/>
        <v>479.04</v>
      </c>
    </row>
    <row r="1002" spans="1:11">
      <c r="A1002">
        <v>1001</v>
      </c>
      <c r="B1002" s="1">
        <v>45635</v>
      </c>
      <c r="C1002" t="s">
        <v>14</v>
      </c>
      <c r="D1002" t="s">
        <v>15</v>
      </c>
      <c r="E1002">
        <v>114.83</v>
      </c>
      <c r="F1002">
        <v>3</v>
      </c>
      <c r="G1002">
        <v>0.19</v>
      </c>
      <c r="H1002">
        <v>0.27</v>
      </c>
      <c r="I1002" t="s">
        <v>12</v>
      </c>
      <c r="J1002" t="s">
        <v>195</v>
      </c>
      <c r="K1002">
        <f t="shared" si="15"/>
        <v>344.49</v>
      </c>
    </row>
    <row r="1003" spans="1:11">
      <c r="A1003">
        <v>1002</v>
      </c>
      <c r="B1003" s="1">
        <v>45417</v>
      </c>
      <c r="C1003" t="s">
        <v>20</v>
      </c>
      <c r="D1003" t="s">
        <v>15</v>
      </c>
      <c r="E1003">
        <v>794.03</v>
      </c>
      <c r="F1003">
        <v>1</v>
      </c>
      <c r="G1003">
        <v>0.06</v>
      </c>
      <c r="H1003">
        <v>0.11</v>
      </c>
      <c r="I1003" t="s">
        <v>24</v>
      </c>
      <c r="J1003" t="s">
        <v>98</v>
      </c>
      <c r="K1003">
        <f t="shared" si="15"/>
        <v>794.03</v>
      </c>
    </row>
    <row r="1004" spans="1:11">
      <c r="A1004">
        <v>1003</v>
      </c>
      <c r="B1004" s="1">
        <v>45502</v>
      </c>
      <c r="C1004" t="s">
        <v>31</v>
      </c>
      <c r="D1004" t="s">
        <v>11</v>
      </c>
      <c r="E1004">
        <v>876.25</v>
      </c>
      <c r="F1004">
        <v>1</v>
      </c>
      <c r="G1004">
        <v>0.09</v>
      </c>
      <c r="H1004">
        <v>0.28999999999999998</v>
      </c>
      <c r="I1004" t="s">
        <v>24</v>
      </c>
      <c r="J1004" t="s">
        <v>298</v>
      </c>
      <c r="K1004">
        <f t="shared" si="15"/>
        <v>876.25</v>
      </c>
    </row>
    <row r="1005" spans="1:11">
      <c r="A1005">
        <v>1004</v>
      </c>
      <c r="B1005" s="1">
        <v>45627</v>
      </c>
      <c r="C1005" t="s">
        <v>14</v>
      </c>
      <c r="D1005" t="s">
        <v>15</v>
      </c>
      <c r="E1005">
        <v>927.18</v>
      </c>
      <c r="F1005">
        <v>3</v>
      </c>
      <c r="G1005">
        <v>0.08</v>
      </c>
      <c r="H1005">
        <v>0.2</v>
      </c>
      <c r="I1005" t="s">
        <v>24</v>
      </c>
      <c r="J1005" t="s">
        <v>299</v>
      </c>
      <c r="K1005">
        <f t="shared" si="15"/>
        <v>2781.54</v>
      </c>
    </row>
    <row r="1006" spans="1:11">
      <c r="A1006">
        <v>1005</v>
      </c>
      <c r="B1006" s="1">
        <v>45425</v>
      </c>
      <c r="C1006" t="s">
        <v>31</v>
      </c>
      <c r="D1006" t="s">
        <v>11</v>
      </c>
      <c r="E1006">
        <v>318</v>
      </c>
      <c r="F1006">
        <v>2</v>
      </c>
      <c r="G1006">
        <v>0.09</v>
      </c>
      <c r="H1006">
        <v>0.27</v>
      </c>
      <c r="I1006" t="s">
        <v>24</v>
      </c>
      <c r="J1006" t="s">
        <v>273</v>
      </c>
      <c r="K1006">
        <f t="shared" si="15"/>
        <v>636</v>
      </c>
    </row>
    <row r="1007" spans="1:11">
      <c r="A1007">
        <v>1006</v>
      </c>
      <c r="B1007" s="1">
        <v>45301</v>
      </c>
      <c r="C1007" t="s">
        <v>23</v>
      </c>
      <c r="D1007" t="s">
        <v>15</v>
      </c>
      <c r="E1007">
        <v>894.74</v>
      </c>
      <c r="F1007">
        <v>1</v>
      </c>
      <c r="G1007">
        <v>0.02</v>
      </c>
      <c r="H1007">
        <v>0.13</v>
      </c>
      <c r="I1007" t="s">
        <v>21</v>
      </c>
      <c r="J1007" t="s">
        <v>53</v>
      </c>
      <c r="K1007">
        <f t="shared" si="15"/>
        <v>894.74</v>
      </c>
    </row>
    <row r="1008" spans="1:11">
      <c r="A1008">
        <v>1007</v>
      </c>
      <c r="B1008" s="1">
        <v>45620</v>
      </c>
      <c r="C1008" t="s">
        <v>20</v>
      </c>
      <c r="D1008" t="s">
        <v>15</v>
      </c>
      <c r="E1008">
        <v>789.16</v>
      </c>
      <c r="F1008">
        <v>4</v>
      </c>
      <c r="G1008">
        <v>0.17</v>
      </c>
      <c r="H1008">
        <v>0.1</v>
      </c>
      <c r="I1008" t="s">
        <v>16</v>
      </c>
      <c r="J1008" t="s">
        <v>77</v>
      </c>
      <c r="K1008">
        <f t="shared" si="15"/>
        <v>3156.64</v>
      </c>
    </row>
    <row r="1009" spans="1:11">
      <c r="A1009">
        <v>1008</v>
      </c>
      <c r="B1009" s="1">
        <v>45428</v>
      </c>
      <c r="C1009" t="s">
        <v>31</v>
      </c>
      <c r="D1009" t="s">
        <v>11</v>
      </c>
      <c r="E1009">
        <v>917.14</v>
      </c>
      <c r="F1009">
        <v>4</v>
      </c>
      <c r="G1009">
        <v>0.19</v>
      </c>
      <c r="H1009">
        <v>0.3</v>
      </c>
      <c r="I1009" t="s">
        <v>12</v>
      </c>
      <c r="J1009" t="s">
        <v>113</v>
      </c>
      <c r="K1009">
        <f t="shared" si="15"/>
        <v>3668.56</v>
      </c>
    </row>
    <row r="1010" spans="1:11">
      <c r="A1010">
        <v>1009</v>
      </c>
      <c r="B1010" s="1">
        <v>45599</v>
      </c>
      <c r="C1010" t="s">
        <v>14</v>
      </c>
      <c r="D1010" t="s">
        <v>15</v>
      </c>
      <c r="E1010">
        <v>457.96</v>
      </c>
      <c r="F1010">
        <v>1</v>
      </c>
      <c r="G1010">
        <v>0.01</v>
      </c>
      <c r="H1010">
        <v>0.15</v>
      </c>
      <c r="I1010" t="s">
        <v>16</v>
      </c>
      <c r="J1010" t="s">
        <v>53</v>
      </c>
      <c r="K1010">
        <f t="shared" si="15"/>
        <v>457.96</v>
      </c>
    </row>
    <row r="1011" spans="1:11">
      <c r="A1011">
        <v>1010</v>
      </c>
      <c r="B1011" s="1">
        <v>45549</v>
      </c>
      <c r="C1011" t="s">
        <v>14</v>
      </c>
      <c r="D1011" t="s">
        <v>15</v>
      </c>
      <c r="E1011">
        <v>1067.8499999999999</v>
      </c>
      <c r="F1011">
        <v>5</v>
      </c>
      <c r="G1011">
        <v>0.17</v>
      </c>
      <c r="H1011">
        <v>0.3</v>
      </c>
      <c r="I1011" t="s">
        <v>24</v>
      </c>
      <c r="J1011" t="s">
        <v>207</v>
      </c>
      <c r="K1011">
        <f t="shared" si="15"/>
        <v>5339.25</v>
      </c>
    </row>
    <row r="1012" spans="1:11">
      <c r="A1012">
        <v>1011</v>
      </c>
      <c r="B1012" s="1">
        <v>45386</v>
      </c>
      <c r="C1012" t="s">
        <v>20</v>
      </c>
      <c r="D1012" t="s">
        <v>15</v>
      </c>
      <c r="E1012">
        <v>1228.72</v>
      </c>
      <c r="F1012">
        <v>4</v>
      </c>
      <c r="G1012">
        <v>0.3</v>
      </c>
      <c r="H1012">
        <v>0.32</v>
      </c>
      <c r="I1012" t="s">
        <v>21</v>
      </c>
      <c r="J1012" t="s">
        <v>120</v>
      </c>
      <c r="K1012">
        <f t="shared" si="15"/>
        <v>4914.88</v>
      </c>
    </row>
    <row r="1013" spans="1:11">
      <c r="A1013">
        <v>1012</v>
      </c>
      <c r="B1013" s="1">
        <v>45300</v>
      </c>
      <c r="C1013" t="s">
        <v>31</v>
      </c>
      <c r="D1013" t="s">
        <v>11</v>
      </c>
      <c r="E1013">
        <v>221.07</v>
      </c>
      <c r="F1013">
        <v>3</v>
      </c>
      <c r="G1013">
        <v>0.01</v>
      </c>
      <c r="H1013">
        <v>0.17</v>
      </c>
      <c r="I1013" t="s">
        <v>21</v>
      </c>
      <c r="J1013" t="s">
        <v>274</v>
      </c>
      <c r="K1013">
        <f t="shared" si="15"/>
        <v>663.21</v>
      </c>
    </row>
    <row r="1014" spans="1:11">
      <c r="A1014">
        <v>1013</v>
      </c>
      <c r="B1014" s="1">
        <v>45455</v>
      </c>
      <c r="C1014" t="s">
        <v>14</v>
      </c>
      <c r="D1014" t="s">
        <v>15</v>
      </c>
      <c r="E1014">
        <v>228</v>
      </c>
      <c r="F1014">
        <v>3</v>
      </c>
      <c r="G1014">
        <v>7.0000000000000007E-2</v>
      </c>
      <c r="H1014">
        <v>0.14000000000000001</v>
      </c>
      <c r="I1014" t="s">
        <v>12</v>
      </c>
      <c r="J1014" t="s">
        <v>310</v>
      </c>
      <c r="K1014">
        <f t="shared" si="15"/>
        <v>684</v>
      </c>
    </row>
    <row r="1015" spans="1:11">
      <c r="A1015">
        <v>1014</v>
      </c>
      <c r="B1015" s="1">
        <v>45364</v>
      </c>
      <c r="C1015" t="s">
        <v>20</v>
      </c>
      <c r="D1015" t="s">
        <v>15</v>
      </c>
      <c r="E1015">
        <v>762.59</v>
      </c>
      <c r="F1015">
        <v>4</v>
      </c>
      <c r="G1015">
        <v>0.11</v>
      </c>
      <c r="H1015">
        <v>0.37</v>
      </c>
      <c r="I1015" t="s">
        <v>16</v>
      </c>
      <c r="J1015" t="s">
        <v>121</v>
      </c>
      <c r="K1015">
        <f t="shared" si="15"/>
        <v>3050.36</v>
      </c>
    </row>
    <row r="1016" spans="1:11">
      <c r="A1016">
        <v>1015</v>
      </c>
      <c r="B1016" s="1">
        <v>45394</v>
      </c>
      <c r="C1016" t="s">
        <v>10</v>
      </c>
      <c r="D1016" t="s">
        <v>11</v>
      </c>
      <c r="E1016">
        <v>1146.01</v>
      </c>
      <c r="F1016">
        <v>2</v>
      </c>
      <c r="G1016">
        <v>0.2</v>
      </c>
      <c r="H1016">
        <v>0.38</v>
      </c>
      <c r="I1016" t="s">
        <v>24</v>
      </c>
      <c r="J1016" t="s">
        <v>181</v>
      </c>
      <c r="K1016">
        <f t="shared" si="15"/>
        <v>2292.02</v>
      </c>
    </row>
    <row r="1017" spans="1:11">
      <c r="A1017">
        <v>1016</v>
      </c>
      <c r="B1017" s="1">
        <v>45470</v>
      </c>
      <c r="C1017" t="s">
        <v>20</v>
      </c>
      <c r="D1017" t="s">
        <v>15</v>
      </c>
      <c r="E1017">
        <v>1465.43</v>
      </c>
      <c r="F1017">
        <v>5</v>
      </c>
      <c r="G1017">
        <v>0.28000000000000003</v>
      </c>
      <c r="H1017">
        <v>0.19</v>
      </c>
      <c r="I1017" t="s">
        <v>12</v>
      </c>
      <c r="J1017" t="s">
        <v>296</v>
      </c>
      <c r="K1017">
        <f t="shared" si="15"/>
        <v>7327.1500000000005</v>
      </c>
    </row>
    <row r="1018" spans="1:11">
      <c r="A1018">
        <v>1017</v>
      </c>
      <c r="B1018" s="1">
        <v>45474</v>
      </c>
      <c r="C1018" t="s">
        <v>10</v>
      </c>
      <c r="D1018" t="s">
        <v>11</v>
      </c>
      <c r="E1018">
        <v>1332.28</v>
      </c>
      <c r="F1018">
        <v>1</v>
      </c>
      <c r="G1018">
        <v>0.05</v>
      </c>
      <c r="H1018">
        <v>0.2</v>
      </c>
      <c r="I1018" t="s">
        <v>21</v>
      </c>
      <c r="J1018" t="s">
        <v>278</v>
      </c>
      <c r="K1018">
        <f t="shared" si="15"/>
        <v>1332.28</v>
      </c>
    </row>
    <row r="1019" spans="1:11">
      <c r="A1019">
        <v>1018</v>
      </c>
      <c r="B1019" s="1">
        <v>45511</v>
      </c>
      <c r="C1019" t="s">
        <v>23</v>
      </c>
      <c r="D1019" t="s">
        <v>15</v>
      </c>
      <c r="E1019">
        <v>217.81</v>
      </c>
      <c r="F1019">
        <v>2</v>
      </c>
      <c r="G1019">
        <v>0.28999999999999998</v>
      </c>
      <c r="H1019">
        <v>0.23</v>
      </c>
      <c r="I1019" t="s">
        <v>24</v>
      </c>
      <c r="J1019" t="s">
        <v>116</v>
      </c>
      <c r="K1019">
        <f t="shared" si="15"/>
        <v>435.62</v>
      </c>
    </row>
    <row r="1020" spans="1:11">
      <c r="A1020">
        <v>1019</v>
      </c>
      <c r="B1020" s="1">
        <v>45631</v>
      </c>
      <c r="C1020" t="s">
        <v>26</v>
      </c>
      <c r="D1020" t="s">
        <v>11</v>
      </c>
      <c r="E1020">
        <v>330.06</v>
      </c>
      <c r="F1020">
        <v>3</v>
      </c>
      <c r="G1020">
        <v>0.09</v>
      </c>
      <c r="H1020">
        <v>0.23</v>
      </c>
      <c r="I1020" t="s">
        <v>16</v>
      </c>
      <c r="J1020" t="s">
        <v>180</v>
      </c>
      <c r="K1020">
        <f t="shared" si="15"/>
        <v>990.18000000000006</v>
      </c>
    </row>
    <row r="1021" spans="1:11">
      <c r="A1021">
        <v>1020</v>
      </c>
      <c r="B1021" s="1">
        <v>45609</v>
      </c>
      <c r="C1021" t="s">
        <v>10</v>
      </c>
      <c r="D1021" t="s">
        <v>11</v>
      </c>
      <c r="E1021">
        <v>1124.19</v>
      </c>
      <c r="F1021">
        <v>3</v>
      </c>
      <c r="G1021">
        <v>0.12</v>
      </c>
      <c r="H1021">
        <v>0.1</v>
      </c>
      <c r="I1021" t="s">
        <v>12</v>
      </c>
      <c r="J1021" t="s">
        <v>311</v>
      </c>
      <c r="K1021">
        <f t="shared" si="15"/>
        <v>3372.57</v>
      </c>
    </row>
    <row r="1022" spans="1:11">
      <c r="A1022">
        <v>1021</v>
      </c>
      <c r="B1022" s="1">
        <v>45326</v>
      </c>
      <c r="C1022" t="s">
        <v>31</v>
      </c>
      <c r="D1022" t="s">
        <v>11</v>
      </c>
      <c r="E1022">
        <v>1180.5</v>
      </c>
      <c r="F1022">
        <v>1</v>
      </c>
      <c r="G1022">
        <v>0.11</v>
      </c>
      <c r="H1022">
        <v>0.33</v>
      </c>
      <c r="I1022" t="s">
        <v>24</v>
      </c>
      <c r="J1022" t="s">
        <v>32</v>
      </c>
      <c r="K1022">
        <f t="shared" si="15"/>
        <v>1180.5</v>
      </c>
    </row>
    <row r="1023" spans="1:11">
      <c r="A1023">
        <v>1022</v>
      </c>
      <c r="B1023" s="1">
        <v>45321</v>
      </c>
      <c r="C1023" t="s">
        <v>26</v>
      </c>
      <c r="D1023" t="s">
        <v>11</v>
      </c>
      <c r="E1023">
        <v>1273.03</v>
      </c>
      <c r="F1023">
        <v>1</v>
      </c>
      <c r="G1023">
        <v>0.2</v>
      </c>
      <c r="H1023">
        <v>0.28999999999999998</v>
      </c>
      <c r="I1023" t="s">
        <v>24</v>
      </c>
      <c r="J1023" t="s">
        <v>163</v>
      </c>
      <c r="K1023">
        <f t="shared" si="15"/>
        <v>1273.03</v>
      </c>
    </row>
    <row r="1024" spans="1:11">
      <c r="A1024">
        <v>1023</v>
      </c>
      <c r="B1024" s="1">
        <v>45470</v>
      </c>
      <c r="C1024" t="s">
        <v>23</v>
      </c>
      <c r="D1024" t="s">
        <v>15</v>
      </c>
      <c r="E1024">
        <v>525.38</v>
      </c>
      <c r="F1024">
        <v>1</v>
      </c>
      <c r="G1024">
        <v>0.27</v>
      </c>
      <c r="H1024">
        <v>0.18</v>
      </c>
      <c r="I1024" t="s">
        <v>24</v>
      </c>
      <c r="J1024" t="s">
        <v>240</v>
      </c>
      <c r="K1024">
        <f t="shared" si="15"/>
        <v>525.38</v>
      </c>
    </row>
    <row r="1025" spans="1:11">
      <c r="A1025">
        <v>1024</v>
      </c>
      <c r="B1025" s="1">
        <v>45564</v>
      </c>
      <c r="C1025" t="s">
        <v>26</v>
      </c>
      <c r="D1025" t="s">
        <v>11</v>
      </c>
      <c r="E1025">
        <v>391.6</v>
      </c>
      <c r="F1025">
        <v>4</v>
      </c>
      <c r="G1025">
        <v>0.18</v>
      </c>
      <c r="H1025">
        <v>0.25</v>
      </c>
      <c r="I1025" t="s">
        <v>16</v>
      </c>
      <c r="J1025" t="s">
        <v>298</v>
      </c>
      <c r="K1025">
        <f t="shared" si="15"/>
        <v>1566.4</v>
      </c>
    </row>
    <row r="1026" spans="1:11">
      <c r="A1026">
        <v>1025</v>
      </c>
      <c r="B1026" s="1">
        <v>45327</v>
      </c>
      <c r="C1026" t="s">
        <v>20</v>
      </c>
      <c r="D1026" t="s">
        <v>15</v>
      </c>
      <c r="E1026">
        <v>471.14</v>
      </c>
      <c r="F1026">
        <v>5</v>
      </c>
      <c r="G1026">
        <v>0.26</v>
      </c>
      <c r="H1026">
        <v>0.34</v>
      </c>
      <c r="I1026" t="s">
        <v>12</v>
      </c>
      <c r="J1026" t="s">
        <v>94</v>
      </c>
      <c r="K1026">
        <f t="shared" si="15"/>
        <v>2355.6999999999998</v>
      </c>
    </row>
    <row r="1027" spans="1:11">
      <c r="A1027">
        <v>1026</v>
      </c>
      <c r="B1027" s="1">
        <v>45628</v>
      </c>
      <c r="C1027" t="s">
        <v>14</v>
      </c>
      <c r="D1027" t="s">
        <v>15</v>
      </c>
      <c r="E1027">
        <v>241.38</v>
      </c>
      <c r="F1027">
        <v>2</v>
      </c>
      <c r="G1027">
        <v>0.28000000000000003</v>
      </c>
      <c r="H1027">
        <v>0.3</v>
      </c>
      <c r="I1027" t="s">
        <v>24</v>
      </c>
      <c r="J1027" t="s">
        <v>159</v>
      </c>
      <c r="K1027">
        <f t="shared" si="15"/>
        <v>482.76</v>
      </c>
    </row>
    <row r="1028" spans="1:11">
      <c r="A1028">
        <v>1027</v>
      </c>
      <c r="B1028" s="1">
        <v>45575</v>
      </c>
      <c r="C1028" t="s">
        <v>31</v>
      </c>
      <c r="D1028" t="s">
        <v>11</v>
      </c>
      <c r="E1028">
        <v>1012.3</v>
      </c>
      <c r="F1028">
        <v>3</v>
      </c>
      <c r="G1028">
        <v>0.15</v>
      </c>
      <c r="H1028">
        <v>0.14000000000000001</v>
      </c>
      <c r="I1028" t="s">
        <v>24</v>
      </c>
      <c r="J1028" t="s">
        <v>295</v>
      </c>
      <c r="K1028">
        <f t="shared" ref="K1028:K1091" si="16">E1028*F1028</f>
        <v>3036.8999999999996</v>
      </c>
    </row>
    <row r="1029" spans="1:11">
      <c r="A1029">
        <v>1028</v>
      </c>
      <c r="B1029" s="1">
        <v>45312</v>
      </c>
      <c r="C1029" t="s">
        <v>10</v>
      </c>
      <c r="D1029" t="s">
        <v>11</v>
      </c>
      <c r="E1029">
        <v>1208.53</v>
      </c>
      <c r="F1029">
        <v>5</v>
      </c>
      <c r="G1029">
        <v>0.04</v>
      </c>
      <c r="H1029">
        <v>0.39</v>
      </c>
      <c r="I1029" t="s">
        <v>24</v>
      </c>
      <c r="J1029" t="s">
        <v>188</v>
      </c>
      <c r="K1029">
        <f t="shared" si="16"/>
        <v>6042.65</v>
      </c>
    </row>
    <row r="1030" spans="1:11">
      <c r="A1030">
        <v>1029</v>
      </c>
      <c r="B1030" s="1">
        <v>45515</v>
      </c>
      <c r="C1030" t="s">
        <v>31</v>
      </c>
      <c r="D1030" t="s">
        <v>11</v>
      </c>
      <c r="E1030">
        <v>1031.9100000000001</v>
      </c>
      <c r="F1030">
        <v>3</v>
      </c>
      <c r="G1030">
        <v>0.24</v>
      </c>
      <c r="H1030">
        <v>0.38</v>
      </c>
      <c r="I1030" t="s">
        <v>16</v>
      </c>
      <c r="J1030" t="s">
        <v>54</v>
      </c>
      <c r="K1030">
        <f t="shared" si="16"/>
        <v>3095.7300000000005</v>
      </c>
    </row>
    <row r="1031" spans="1:11">
      <c r="A1031">
        <v>1030</v>
      </c>
      <c r="B1031" s="1">
        <v>45491</v>
      </c>
      <c r="C1031" t="s">
        <v>10</v>
      </c>
      <c r="D1031" t="s">
        <v>11</v>
      </c>
      <c r="E1031">
        <v>1180.24</v>
      </c>
      <c r="F1031">
        <v>1</v>
      </c>
      <c r="G1031">
        <v>0.3</v>
      </c>
      <c r="H1031">
        <v>0.28000000000000003</v>
      </c>
      <c r="I1031" t="s">
        <v>12</v>
      </c>
      <c r="J1031" t="s">
        <v>106</v>
      </c>
      <c r="K1031">
        <f t="shared" si="16"/>
        <v>1180.24</v>
      </c>
    </row>
    <row r="1032" spans="1:11">
      <c r="A1032">
        <v>1031</v>
      </c>
      <c r="B1032" s="1">
        <v>45528</v>
      </c>
      <c r="C1032" t="s">
        <v>10</v>
      </c>
      <c r="D1032" t="s">
        <v>11</v>
      </c>
      <c r="E1032">
        <v>1024.6400000000001</v>
      </c>
      <c r="F1032">
        <v>4</v>
      </c>
      <c r="G1032">
        <v>0.19</v>
      </c>
      <c r="H1032">
        <v>0.28999999999999998</v>
      </c>
      <c r="I1032" t="s">
        <v>24</v>
      </c>
      <c r="J1032" t="s">
        <v>222</v>
      </c>
      <c r="K1032">
        <f t="shared" si="16"/>
        <v>4098.5600000000004</v>
      </c>
    </row>
    <row r="1033" spans="1:11">
      <c r="A1033">
        <v>1032</v>
      </c>
      <c r="B1033" s="1">
        <v>45463</v>
      </c>
      <c r="C1033" t="s">
        <v>10</v>
      </c>
      <c r="D1033" t="s">
        <v>11</v>
      </c>
      <c r="E1033">
        <v>104.11</v>
      </c>
      <c r="F1033">
        <v>3</v>
      </c>
      <c r="G1033">
        <v>0.28999999999999998</v>
      </c>
      <c r="H1033">
        <v>0.17</v>
      </c>
      <c r="I1033" t="s">
        <v>21</v>
      </c>
      <c r="J1033" t="s">
        <v>231</v>
      </c>
      <c r="K1033">
        <f t="shared" si="16"/>
        <v>312.33</v>
      </c>
    </row>
    <row r="1034" spans="1:11">
      <c r="A1034">
        <v>1033</v>
      </c>
      <c r="B1034" s="1">
        <v>45469</v>
      </c>
      <c r="C1034" t="s">
        <v>14</v>
      </c>
      <c r="D1034" t="s">
        <v>15</v>
      </c>
      <c r="E1034">
        <v>311.94</v>
      </c>
      <c r="F1034">
        <v>3</v>
      </c>
      <c r="G1034">
        <v>0.25</v>
      </c>
      <c r="H1034">
        <v>0.26</v>
      </c>
      <c r="I1034" t="s">
        <v>16</v>
      </c>
      <c r="J1034" t="s">
        <v>30</v>
      </c>
      <c r="K1034">
        <f t="shared" si="16"/>
        <v>935.81999999999994</v>
      </c>
    </row>
    <row r="1035" spans="1:11">
      <c r="A1035">
        <v>1034</v>
      </c>
      <c r="B1035" s="1">
        <v>45518</v>
      </c>
      <c r="C1035" t="s">
        <v>20</v>
      </c>
      <c r="D1035" t="s">
        <v>15</v>
      </c>
      <c r="E1035">
        <v>617.64</v>
      </c>
      <c r="F1035">
        <v>5</v>
      </c>
      <c r="G1035">
        <v>0.15</v>
      </c>
      <c r="H1035">
        <v>0.28000000000000003</v>
      </c>
      <c r="I1035" t="s">
        <v>24</v>
      </c>
      <c r="J1035" t="s">
        <v>39</v>
      </c>
      <c r="K1035">
        <f t="shared" si="16"/>
        <v>3088.2</v>
      </c>
    </row>
    <row r="1036" spans="1:11">
      <c r="A1036">
        <v>1035</v>
      </c>
      <c r="B1036" s="1">
        <v>45407</v>
      </c>
      <c r="C1036" t="s">
        <v>14</v>
      </c>
      <c r="D1036" t="s">
        <v>15</v>
      </c>
      <c r="E1036">
        <v>1194.77</v>
      </c>
      <c r="F1036">
        <v>3</v>
      </c>
      <c r="G1036">
        <v>0.21</v>
      </c>
      <c r="H1036">
        <v>0.13</v>
      </c>
      <c r="I1036" t="s">
        <v>12</v>
      </c>
      <c r="J1036" t="s">
        <v>310</v>
      </c>
      <c r="K1036">
        <f t="shared" si="16"/>
        <v>3584.31</v>
      </c>
    </row>
    <row r="1037" spans="1:11">
      <c r="A1037">
        <v>1036</v>
      </c>
      <c r="B1037" s="1">
        <v>45315</v>
      </c>
      <c r="C1037" t="s">
        <v>10</v>
      </c>
      <c r="D1037" t="s">
        <v>11</v>
      </c>
      <c r="E1037">
        <v>716.47</v>
      </c>
      <c r="F1037">
        <v>5</v>
      </c>
      <c r="G1037">
        <v>0.28000000000000003</v>
      </c>
      <c r="H1037">
        <v>0.14000000000000001</v>
      </c>
      <c r="I1037" t="s">
        <v>16</v>
      </c>
      <c r="J1037" t="s">
        <v>36</v>
      </c>
      <c r="K1037">
        <f t="shared" si="16"/>
        <v>3582.3500000000004</v>
      </c>
    </row>
    <row r="1038" spans="1:11">
      <c r="A1038">
        <v>1037</v>
      </c>
      <c r="B1038" s="1">
        <v>45626</v>
      </c>
      <c r="C1038" t="s">
        <v>26</v>
      </c>
      <c r="D1038" t="s">
        <v>11</v>
      </c>
      <c r="E1038">
        <v>230.39</v>
      </c>
      <c r="F1038">
        <v>2</v>
      </c>
      <c r="G1038">
        <v>0.12</v>
      </c>
      <c r="H1038">
        <v>0.37</v>
      </c>
      <c r="I1038" t="s">
        <v>16</v>
      </c>
      <c r="J1038" t="s">
        <v>39</v>
      </c>
      <c r="K1038">
        <f t="shared" si="16"/>
        <v>460.78</v>
      </c>
    </row>
    <row r="1039" spans="1:11">
      <c r="A1039">
        <v>1038</v>
      </c>
      <c r="B1039" s="1">
        <v>45555</v>
      </c>
      <c r="C1039" t="s">
        <v>23</v>
      </c>
      <c r="D1039" t="s">
        <v>15</v>
      </c>
      <c r="E1039">
        <v>129.6</v>
      </c>
      <c r="F1039">
        <v>3</v>
      </c>
      <c r="G1039">
        <v>0.2</v>
      </c>
      <c r="H1039">
        <v>0.28999999999999998</v>
      </c>
      <c r="I1039" t="s">
        <v>24</v>
      </c>
      <c r="J1039" t="s">
        <v>43</v>
      </c>
      <c r="K1039">
        <f t="shared" si="16"/>
        <v>388.79999999999995</v>
      </c>
    </row>
    <row r="1040" spans="1:11">
      <c r="A1040">
        <v>1039</v>
      </c>
      <c r="B1040" s="1">
        <v>45643</v>
      </c>
      <c r="C1040" t="s">
        <v>10</v>
      </c>
      <c r="D1040" t="s">
        <v>11</v>
      </c>
      <c r="E1040">
        <v>1050.4000000000001</v>
      </c>
      <c r="F1040">
        <v>5</v>
      </c>
      <c r="G1040">
        <v>0.09</v>
      </c>
      <c r="H1040">
        <v>0.33</v>
      </c>
      <c r="I1040" t="s">
        <v>21</v>
      </c>
      <c r="J1040" t="s">
        <v>311</v>
      </c>
      <c r="K1040">
        <f t="shared" si="16"/>
        <v>5252</v>
      </c>
    </row>
    <row r="1041" spans="1:11">
      <c r="A1041">
        <v>1040</v>
      </c>
      <c r="B1041" s="1">
        <v>45370</v>
      </c>
      <c r="C1041" t="s">
        <v>26</v>
      </c>
      <c r="D1041" t="s">
        <v>11</v>
      </c>
      <c r="E1041">
        <v>884.38</v>
      </c>
      <c r="F1041">
        <v>4</v>
      </c>
      <c r="G1041">
        <v>0.16</v>
      </c>
      <c r="H1041">
        <v>0.39</v>
      </c>
      <c r="I1041" t="s">
        <v>12</v>
      </c>
      <c r="J1041" t="s">
        <v>141</v>
      </c>
      <c r="K1041">
        <f t="shared" si="16"/>
        <v>3537.52</v>
      </c>
    </row>
    <row r="1042" spans="1:11">
      <c r="A1042">
        <v>1041</v>
      </c>
      <c r="B1042" s="1">
        <v>45483</v>
      </c>
      <c r="C1042" t="s">
        <v>23</v>
      </c>
      <c r="D1042" t="s">
        <v>15</v>
      </c>
      <c r="E1042">
        <v>551.86</v>
      </c>
      <c r="F1042">
        <v>1</v>
      </c>
      <c r="G1042">
        <v>0.05</v>
      </c>
      <c r="H1042">
        <v>0.15</v>
      </c>
      <c r="I1042" t="s">
        <v>16</v>
      </c>
      <c r="J1042" t="s">
        <v>316</v>
      </c>
      <c r="K1042">
        <f t="shared" si="16"/>
        <v>551.86</v>
      </c>
    </row>
    <row r="1043" spans="1:11">
      <c r="A1043">
        <v>1042</v>
      </c>
      <c r="B1043" s="1">
        <v>45380</v>
      </c>
      <c r="C1043" t="s">
        <v>26</v>
      </c>
      <c r="D1043" t="s">
        <v>11</v>
      </c>
      <c r="E1043">
        <v>773.94</v>
      </c>
      <c r="F1043">
        <v>3</v>
      </c>
      <c r="G1043">
        <v>7.0000000000000007E-2</v>
      </c>
      <c r="H1043">
        <v>0.12</v>
      </c>
      <c r="I1043" t="s">
        <v>16</v>
      </c>
      <c r="J1043" t="s">
        <v>27</v>
      </c>
      <c r="K1043">
        <f t="shared" si="16"/>
        <v>2321.8200000000002</v>
      </c>
    </row>
    <row r="1044" spans="1:11">
      <c r="A1044">
        <v>1043</v>
      </c>
      <c r="B1044" s="1">
        <v>45313</v>
      </c>
      <c r="C1044" t="s">
        <v>26</v>
      </c>
      <c r="D1044" t="s">
        <v>11</v>
      </c>
      <c r="E1044">
        <v>903.17</v>
      </c>
      <c r="F1044">
        <v>5</v>
      </c>
      <c r="G1044">
        <v>0.14000000000000001</v>
      </c>
      <c r="H1044">
        <v>0.22</v>
      </c>
      <c r="I1044" t="s">
        <v>21</v>
      </c>
      <c r="J1044" t="s">
        <v>64</v>
      </c>
      <c r="K1044">
        <f t="shared" si="16"/>
        <v>4515.8499999999995</v>
      </c>
    </row>
    <row r="1045" spans="1:11">
      <c r="A1045">
        <v>1044</v>
      </c>
      <c r="B1045" s="1">
        <v>45564</v>
      </c>
      <c r="C1045" t="s">
        <v>26</v>
      </c>
      <c r="D1045" t="s">
        <v>11</v>
      </c>
      <c r="E1045">
        <v>313.68</v>
      </c>
      <c r="F1045">
        <v>2</v>
      </c>
      <c r="G1045">
        <v>0.19</v>
      </c>
      <c r="H1045">
        <v>0.23</v>
      </c>
      <c r="I1045" t="s">
        <v>21</v>
      </c>
      <c r="J1045" t="s">
        <v>177</v>
      </c>
      <c r="K1045">
        <f t="shared" si="16"/>
        <v>627.36</v>
      </c>
    </row>
    <row r="1046" spans="1:11">
      <c r="A1046">
        <v>1045</v>
      </c>
      <c r="B1046" s="1">
        <v>45641</v>
      </c>
      <c r="C1046" t="s">
        <v>26</v>
      </c>
      <c r="D1046" t="s">
        <v>11</v>
      </c>
      <c r="E1046">
        <v>433.38</v>
      </c>
      <c r="F1046">
        <v>2</v>
      </c>
      <c r="G1046">
        <v>0.28000000000000003</v>
      </c>
      <c r="H1046">
        <v>0.3</v>
      </c>
      <c r="I1046" t="s">
        <v>24</v>
      </c>
      <c r="J1046" t="s">
        <v>227</v>
      </c>
      <c r="K1046">
        <f t="shared" si="16"/>
        <v>866.76</v>
      </c>
    </row>
    <row r="1047" spans="1:11">
      <c r="A1047">
        <v>1046</v>
      </c>
      <c r="B1047" s="1">
        <v>45307</v>
      </c>
      <c r="C1047" t="s">
        <v>10</v>
      </c>
      <c r="D1047" t="s">
        <v>11</v>
      </c>
      <c r="E1047">
        <v>904.17</v>
      </c>
      <c r="F1047">
        <v>1</v>
      </c>
      <c r="G1047">
        <v>0.13</v>
      </c>
      <c r="H1047">
        <v>0.38</v>
      </c>
      <c r="I1047" t="s">
        <v>24</v>
      </c>
      <c r="J1047" t="s">
        <v>284</v>
      </c>
      <c r="K1047">
        <f t="shared" si="16"/>
        <v>904.17</v>
      </c>
    </row>
    <row r="1048" spans="1:11">
      <c r="A1048">
        <v>1047</v>
      </c>
      <c r="B1048" s="1">
        <v>45476</v>
      </c>
      <c r="C1048" t="s">
        <v>20</v>
      </c>
      <c r="D1048" t="s">
        <v>15</v>
      </c>
      <c r="E1048">
        <v>580.21</v>
      </c>
      <c r="F1048">
        <v>5</v>
      </c>
      <c r="G1048">
        <v>0.06</v>
      </c>
      <c r="H1048">
        <v>0.23</v>
      </c>
      <c r="I1048" t="s">
        <v>24</v>
      </c>
      <c r="J1048" t="s">
        <v>79</v>
      </c>
      <c r="K1048">
        <f t="shared" si="16"/>
        <v>2901.05</v>
      </c>
    </row>
    <row r="1049" spans="1:11">
      <c r="A1049">
        <v>1048</v>
      </c>
      <c r="B1049" s="1">
        <v>45569</v>
      </c>
      <c r="C1049" t="s">
        <v>31</v>
      </c>
      <c r="D1049" t="s">
        <v>11</v>
      </c>
      <c r="E1049">
        <v>180.47</v>
      </c>
      <c r="F1049">
        <v>3</v>
      </c>
      <c r="G1049">
        <v>0.27</v>
      </c>
      <c r="H1049">
        <v>0.35</v>
      </c>
      <c r="I1049" t="s">
        <v>21</v>
      </c>
      <c r="J1049" t="s">
        <v>81</v>
      </c>
      <c r="K1049">
        <f t="shared" si="16"/>
        <v>541.41</v>
      </c>
    </row>
    <row r="1050" spans="1:11">
      <c r="A1050">
        <v>1049</v>
      </c>
      <c r="B1050" s="1">
        <v>45309</v>
      </c>
      <c r="C1050" t="s">
        <v>26</v>
      </c>
      <c r="D1050" t="s">
        <v>11</v>
      </c>
      <c r="E1050">
        <v>1237.79</v>
      </c>
      <c r="F1050">
        <v>5</v>
      </c>
      <c r="G1050">
        <v>0.04</v>
      </c>
      <c r="H1050">
        <v>0.12</v>
      </c>
      <c r="I1050" t="s">
        <v>12</v>
      </c>
      <c r="J1050" t="s">
        <v>288</v>
      </c>
      <c r="K1050">
        <f t="shared" si="16"/>
        <v>6188.95</v>
      </c>
    </row>
    <row r="1051" spans="1:11">
      <c r="A1051">
        <v>1050</v>
      </c>
      <c r="B1051" s="1">
        <v>45416</v>
      </c>
      <c r="C1051" t="s">
        <v>31</v>
      </c>
      <c r="D1051" t="s">
        <v>11</v>
      </c>
      <c r="E1051">
        <v>1091.1099999999999</v>
      </c>
      <c r="F1051">
        <v>1</v>
      </c>
      <c r="G1051">
        <v>0.21</v>
      </c>
      <c r="H1051">
        <v>0.19</v>
      </c>
      <c r="I1051" t="s">
        <v>16</v>
      </c>
      <c r="J1051" t="s">
        <v>157</v>
      </c>
      <c r="K1051">
        <f t="shared" si="16"/>
        <v>1091.1099999999999</v>
      </c>
    </row>
    <row r="1052" spans="1:11">
      <c r="A1052">
        <v>1051</v>
      </c>
      <c r="B1052" s="1">
        <v>45397</v>
      </c>
      <c r="C1052" t="s">
        <v>20</v>
      </c>
      <c r="D1052" t="s">
        <v>15</v>
      </c>
      <c r="E1052">
        <v>539.53</v>
      </c>
      <c r="F1052">
        <v>3</v>
      </c>
      <c r="G1052">
        <v>0.22</v>
      </c>
      <c r="H1052">
        <v>0.31</v>
      </c>
      <c r="I1052" t="s">
        <v>12</v>
      </c>
      <c r="J1052" t="s">
        <v>155</v>
      </c>
      <c r="K1052">
        <f t="shared" si="16"/>
        <v>1618.59</v>
      </c>
    </row>
    <row r="1053" spans="1:11">
      <c r="A1053">
        <v>1052</v>
      </c>
      <c r="B1053" s="1">
        <v>45581</v>
      </c>
      <c r="C1053" t="s">
        <v>26</v>
      </c>
      <c r="D1053" t="s">
        <v>11</v>
      </c>
      <c r="E1053">
        <v>188.14</v>
      </c>
      <c r="F1053">
        <v>4</v>
      </c>
      <c r="G1053">
        <v>0.28000000000000003</v>
      </c>
      <c r="H1053">
        <v>0.13</v>
      </c>
      <c r="I1053" t="s">
        <v>16</v>
      </c>
      <c r="J1053" t="s">
        <v>317</v>
      </c>
      <c r="K1053">
        <f t="shared" si="16"/>
        <v>752.56</v>
      </c>
    </row>
    <row r="1054" spans="1:11">
      <c r="A1054">
        <v>1053</v>
      </c>
      <c r="B1054" s="1">
        <v>45309</v>
      </c>
      <c r="C1054" t="s">
        <v>31</v>
      </c>
      <c r="D1054" t="s">
        <v>11</v>
      </c>
      <c r="E1054">
        <v>104.4</v>
      </c>
      <c r="F1054">
        <v>2</v>
      </c>
      <c r="G1054">
        <v>0.08</v>
      </c>
      <c r="H1054">
        <v>0.28999999999999998</v>
      </c>
      <c r="I1054" t="s">
        <v>12</v>
      </c>
      <c r="J1054" t="s">
        <v>175</v>
      </c>
      <c r="K1054">
        <f t="shared" si="16"/>
        <v>208.8</v>
      </c>
    </row>
    <row r="1055" spans="1:11">
      <c r="A1055">
        <v>1054</v>
      </c>
      <c r="B1055" s="1">
        <v>45370</v>
      </c>
      <c r="C1055" t="s">
        <v>10</v>
      </c>
      <c r="D1055" t="s">
        <v>11</v>
      </c>
      <c r="E1055">
        <v>692</v>
      </c>
      <c r="F1055">
        <v>1</v>
      </c>
      <c r="G1055">
        <v>0.13</v>
      </c>
      <c r="H1055">
        <v>0.3</v>
      </c>
      <c r="I1055" t="s">
        <v>24</v>
      </c>
      <c r="J1055" t="s">
        <v>66</v>
      </c>
      <c r="K1055">
        <f t="shared" si="16"/>
        <v>692</v>
      </c>
    </row>
    <row r="1056" spans="1:11">
      <c r="A1056">
        <v>1055</v>
      </c>
      <c r="B1056" s="1">
        <v>45487</v>
      </c>
      <c r="C1056" t="s">
        <v>26</v>
      </c>
      <c r="D1056" t="s">
        <v>11</v>
      </c>
      <c r="E1056">
        <v>1165.45</v>
      </c>
      <c r="F1056">
        <v>3</v>
      </c>
      <c r="G1056">
        <v>0.01</v>
      </c>
      <c r="H1056">
        <v>0.26</v>
      </c>
      <c r="I1056" t="s">
        <v>24</v>
      </c>
      <c r="J1056" t="s">
        <v>312</v>
      </c>
      <c r="K1056">
        <f t="shared" si="16"/>
        <v>3496.3500000000004</v>
      </c>
    </row>
    <row r="1057" spans="1:11">
      <c r="A1057">
        <v>1056</v>
      </c>
      <c r="B1057" s="1">
        <v>45484</v>
      </c>
      <c r="C1057" t="s">
        <v>20</v>
      </c>
      <c r="D1057" t="s">
        <v>15</v>
      </c>
      <c r="E1057">
        <v>1483.54</v>
      </c>
      <c r="F1057">
        <v>2</v>
      </c>
      <c r="G1057">
        <v>0.3</v>
      </c>
      <c r="H1057">
        <v>0.33</v>
      </c>
      <c r="I1057" t="s">
        <v>12</v>
      </c>
      <c r="J1057" t="s">
        <v>147</v>
      </c>
      <c r="K1057">
        <f t="shared" si="16"/>
        <v>2967.08</v>
      </c>
    </row>
    <row r="1058" spans="1:11">
      <c r="A1058">
        <v>1057</v>
      </c>
      <c r="B1058" s="1">
        <v>45625</v>
      </c>
      <c r="C1058" t="s">
        <v>26</v>
      </c>
      <c r="D1058" t="s">
        <v>11</v>
      </c>
      <c r="E1058">
        <v>1332.59</v>
      </c>
      <c r="F1058">
        <v>1</v>
      </c>
      <c r="G1058">
        <v>0.26</v>
      </c>
      <c r="H1058">
        <v>0.13</v>
      </c>
      <c r="I1058" t="s">
        <v>16</v>
      </c>
      <c r="J1058" t="s">
        <v>49</v>
      </c>
      <c r="K1058">
        <f t="shared" si="16"/>
        <v>1332.59</v>
      </c>
    </row>
    <row r="1059" spans="1:11">
      <c r="A1059">
        <v>1058</v>
      </c>
      <c r="B1059" s="1">
        <v>45489</v>
      </c>
      <c r="C1059" t="s">
        <v>23</v>
      </c>
      <c r="D1059" t="s">
        <v>15</v>
      </c>
      <c r="E1059">
        <v>1291.67</v>
      </c>
      <c r="F1059">
        <v>4</v>
      </c>
      <c r="G1059">
        <v>0.28999999999999998</v>
      </c>
      <c r="H1059">
        <v>0.14000000000000001</v>
      </c>
      <c r="I1059" t="s">
        <v>24</v>
      </c>
      <c r="J1059" t="s">
        <v>52</v>
      </c>
      <c r="K1059">
        <f t="shared" si="16"/>
        <v>5166.68</v>
      </c>
    </row>
    <row r="1060" spans="1:11">
      <c r="A1060">
        <v>1059</v>
      </c>
      <c r="B1060" s="1">
        <v>45532</v>
      </c>
      <c r="C1060" t="s">
        <v>26</v>
      </c>
      <c r="D1060" t="s">
        <v>11</v>
      </c>
      <c r="E1060">
        <v>522.55999999999995</v>
      </c>
      <c r="F1060">
        <v>3</v>
      </c>
      <c r="G1060">
        <v>0</v>
      </c>
      <c r="H1060">
        <v>0.19</v>
      </c>
      <c r="I1060" t="s">
        <v>21</v>
      </c>
      <c r="J1060" t="s">
        <v>80</v>
      </c>
      <c r="K1060">
        <f t="shared" si="16"/>
        <v>1567.6799999999998</v>
      </c>
    </row>
    <row r="1061" spans="1:11">
      <c r="A1061">
        <v>1060</v>
      </c>
      <c r="B1061" s="1">
        <v>45607</v>
      </c>
      <c r="C1061" t="s">
        <v>26</v>
      </c>
      <c r="D1061" t="s">
        <v>11</v>
      </c>
      <c r="E1061">
        <v>227.11</v>
      </c>
      <c r="F1061">
        <v>3</v>
      </c>
      <c r="G1061">
        <v>0.13</v>
      </c>
      <c r="H1061">
        <v>0.12</v>
      </c>
      <c r="I1061" t="s">
        <v>16</v>
      </c>
      <c r="J1061" t="s">
        <v>96</v>
      </c>
      <c r="K1061">
        <f t="shared" si="16"/>
        <v>681.33</v>
      </c>
    </row>
    <row r="1062" spans="1:11">
      <c r="A1062">
        <v>1061</v>
      </c>
      <c r="B1062" s="1">
        <v>45333</v>
      </c>
      <c r="C1062" t="s">
        <v>26</v>
      </c>
      <c r="D1062" t="s">
        <v>11</v>
      </c>
      <c r="E1062">
        <v>640.66</v>
      </c>
      <c r="F1062">
        <v>5</v>
      </c>
      <c r="G1062">
        <v>0.26</v>
      </c>
      <c r="H1062">
        <v>0.37</v>
      </c>
      <c r="I1062" t="s">
        <v>12</v>
      </c>
      <c r="J1062" t="s">
        <v>50</v>
      </c>
      <c r="K1062">
        <f t="shared" si="16"/>
        <v>3203.2999999999997</v>
      </c>
    </row>
    <row r="1063" spans="1:11">
      <c r="A1063">
        <v>1062</v>
      </c>
      <c r="B1063" s="1">
        <v>45498</v>
      </c>
      <c r="C1063" t="s">
        <v>20</v>
      </c>
      <c r="D1063" t="s">
        <v>15</v>
      </c>
      <c r="E1063">
        <v>182.53</v>
      </c>
      <c r="F1063">
        <v>2</v>
      </c>
      <c r="G1063">
        <v>0.09</v>
      </c>
      <c r="H1063">
        <v>0.19</v>
      </c>
      <c r="I1063" t="s">
        <v>16</v>
      </c>
      <c r="J1063" t="s">
        <v>146</v>
      </c>
      <c r="K1063">
        <f t="shared" si="16"/>
        <v>365.06</v>
      </c>
    </row>
    <row r="1064" spans="1:11">
      <c r="A1064">
        <v>1063</v>
      </c>
      <c r="B1064" s="1">
        <v>45582</v>
      </c>
      <c r="C1064" t="s">
        <v>20</v>
      </c>
      <c r="D1064" t="s">
        <v>15</v>
      </c>
      <c r="E1064">
        <v>1180.1600000000001</v>
      </c>
      <c r="F1064">
        <v>3</v>
      </c>
      <c r="G1064">
        <v>0.19</v>
      </c>
      <c r="H1064">
        <v>0.14000000000000001</v>
      </c>
      <c r="I1064" t="s">
        <v>16</v>
      </c>
      <c r="J1064" t="s">
        <v>216</v>
      </c>
      <c r="K1064">
        <f t="shared" si="16"/>
        <v>3540.4800000000005</v>
      </c>
    </row>
    <row r="1065" spans="1:11">
      <c r="A1065">
        <v>1064</v>
      </c>
      <c r="B1065" s="1">
        <v>45612</v>
      </c>
      <c r="C1065" t="s">
        <v>14</v>
      </c>
      <c r="D1065" t="s">
        <v>15</v>
      </c>
      <c r="E1065">
        <v>1147.31</v>
      </c>
      <c r="F1065">
        <v>1</v>
      </c>
      <c r="G1065">
        <v>0.25</v>
      </c>
      <c r="H1065">
        <v>0.26</v>
      </c>
      <c r="I1065" t="s">
        <v>12</v>
      </c>
      <c r="J1065" t="s">
        <v>182</v>
      </c>
      <c r="K1065">
        <f t="shared" si="16"/>
        <v>1147.31</v>
      </c>
    </row>
    <row r="1066" spans="1:11">
      <c r="A1066">
        <v>1065</v>
      </c>
      <c r="B1066" s="1">
        <v>45352</v>
      </c>
      <c r="C1066" t="s">
        <v>23</v>
      </c>
      <c r="D1066" t="s">
        <v>15</v>
      </c>
      <c r="E1066">
        <v>1434.29</v>
      </c>
      <c r="F1066">
        <v>3</v>
      </c>
      <c r="G1066">
        <v>0.22</v>
      </c>
      <c r="H1066">
        <v>0.14000000000000001</v>
      </c>
      <c r="I1066" t="s">
        <v>21</v>
      </c>
      <c r="J1066" t="s">
        <v>114</v>
      </c>
      <c r="K1066">
        <f t="shared" si="16"/>
        <v>4302.87</v>
      </c>
    </row>
    <row r="1067" spans="1:11">
      <c r="A1067">
        <v>1066</v>
      </c>
      <c r="B1067" s="1">
        <v>45365</v>
      </c>
      <c r="C1067" t="s">
        <v>14</v>
      </c>
      <c r="D1067" t="s">
        <v>15</v>
      </c>
      <c r="E1067">
        <v>737.21</v>
      </c>
      <c r="F1067">
        <v>2</v>
      </c>
      <c r="G1067">
        <v>0.15</v>
      </c>
      <c r="H1067">
        <v>0.33</v>
      </c>
      <c r="I1067" t="s">
        <v>12</v>
      </c>
      <c r="J1067" t="s">
        <v>75</v>
      </c>
      <c r="K1067">
        <f t="shared" si="16"/>
        <v>1474.42</v>
      </c>
    </row>
    <row r="1068" spans="1:11">
      <c r="A1068">
        <v>1067</v>
      </c>
      <c r="B1068" s="1">
        <v>45472</v>
      </c>
      <c r="C1068" t="s">
        <v>31</v>
      </c>
      <c r="D1068" t="s">
        <v>11</v>
      </c>
      <c r="E1068">
        <v>766.14</v>
      </c>
      <c r="F1068">
        <v>1</v>
      </c>
      <c r="G1068">
        <v>0.25</v>
      </c>
      <c r="H1068">
        <v>0.37</v>
      </c>
      <c r="I1068" t="s">
        <v>12</v>
      </c>
      <c r="J1068" t="s">
        <v>75</v>
      </c>
      <c r="K1068">
        <f t="shared" si="16"/>
        <v>766.14</v>
      </c>
    </row>
    <row r="1069" spans="1:11">
      <c r="A1069">
        <v>1068</v>
      </c>
      <c r="B1069" s="1">
        <v>45369</v>
      </c>
      <c r="C1069" t="s">
        <v>20</v>
      </c>
      <c r="D1069" t="s">
        <v>15</v>
      </c>
      <c r="E1069">
        <v>444.17</v>
      </c>
      <c r="F1069">
        <v>2</v>
      </c>
      <c r="G1069">
        <v>0.11</v>
      </c>
      <c r="H1069">
        <v>0.22</v>
      </c>
      <c r="I1069" t="s">
        <v>24</v>
      </c>
      <c r="J1069" t="s">
        <v>39</v>
      </c>
      <c r="K1069">
        <f t="shared" si="16"/>
        <v>888.34</v>
      </c>
    </row>
    <row r="1070" spans="1:11">
      <c r="A1070">
        <v>1069</v>
      </c>
      <c r="B1070" s="1">
        <v>45372</v>
      </c>
      <c r="C1070" t="s">
        <v>23</v>
      </c>
      <c r="D1070" t="s">
        <v>15</v>
      </c>
      <c r="E1070">
        <v>682.04</v>
      </c>
      <c r="F1070">
        <v>3</v>
      </c>
      <c r="G1070">
        <v>0.21</v>
      </c>
      <c r="H1070">
        <v>0.16</v>
      </c>
      <c r="I1070" t="s">
        <v>21</v>
      </c>
      <c r="J1070" t="s">
        <v>28</v>
      </c>
      <c r="K1070">
        <f t="shared" si="16"/>
        <v>2046.12</v>
      </c>
    </row>
    <row r="1071" spans="1:11">
      <c r="A1071">
        <v>1070</v>
      </c>
      <c r="B1071" s="1">
        <v>45349</v>
      </c>
      <c r="C1071" t="s">
        <v>20</v>
      </c>
      <c r="D1071" t="s">
        <v>15</v>
      </c>
      <c r="E1071">
        <v>767.43</v>
      </c>
      <c r="F1071">
        <v>1</v>
      </c>
      <c r="G1071">
        <v>0.19</v>
      </c>
      <c r="H1071">
        <v>0.15</v>
      </c>
      <c r="I1071" t="s">
        <v>12</v>
      </c>
      <c r="J1071" t="s">
        <v>30</v>
      </c>
      <c r="K1071">
        <f t="shared" si="16"/>
        <v>767.43</v>
      </c>
    </row>
    <row r="1072" spans="1:11">
      <c r="A1072">
        <v>1071</v>
      </c>
      <c r="B1072" s="1">
        <v>45314</v>
      </c>
      <c r="C1072" t="s">
        <v>14</v>
      </c>
      <c r="D1072" t="s">
        <v>15</v>
      </c>
      <c r="E1072">
        <v>153.97999999999999</v>
      </c>
      <c r="F1072">
        <v>2</v>
      </c>
      <c r="G1072">
        <v>7.0000000000000007E-2</v>
      </c>
      <c r="H1072">
        <v>0.16</v>
      </c>
      <c r="I1072" t="s">
        <v>21</v>
      </c>
      <c r="J1072" t="s">
        <v>213</v>
      </c>
      <c r="K1072">
        <f t="shared" si="16"/>
        <v>307.95999999999998</v>
      </c>
    </row>
    <row r="1073" spans="1:11">
      <c r="A1073">
        <v>1072</v>
      </c>
      <c r="B1073" s="1">
        <v>45327</v>
      </c>
      <c r="C1073" t="s">
        <v>14</v>
      </c>
      <c r="D1073" t="s">
        <v>15</v>
      </c>
      <c r="E1073">
        <v>429.13</v>
      </c>
      <c r="F1073">
        <v>4</v>
      </c>
      <c r="G1073">
        <v>0.28999999999999998</v>
      </c>
      <c r="H1073">
        <v>0.32</v>
      </c>
      <c r="I1073" t="s">
        <v>12</v>
      </c>
      <c r="J1073" t="s">
        <v>206</v>
      </c>
      <c r="K1073">
        <f t="shared" si="16"/>
        <v>1716.52</v>
      </c>
    </row>
    <row r="1074" spans="1:11">
      <c r="A1074">
        <v>1073</v>
      </c>
      <c r="B1074" s="1">
        <v>45346</v>
      </c>
      <c r="C1074" t="s">
        <v>31</v>
      </c>
      <c r="D1074" t="s">
        <v>11</v>
      </c>
      <c r="E1074">
        <v>289.17</v>
      </c>
      <c r="F1074">
        <v>3</v>
      </c>
      <c r="G1074">
        <v>0.28000000000000003</v>
      </c>
      <c r="H1074">
        <v>0.14000000000000001</v>
      </c>
      <c r="I1074" t="s">
        <v>24</v>
      </c>
      <c r="J1074" t="s">
        <v>112</v>
      </c>
      <c r="K1074">
        <f t="shared" si="16"/>
        <v>867.51</v>
      </c>
    </row>
    <row r="1075" spans="1:11">
      <c r="A1075">
        <v>1074</v>
      </c>
      <c r="B1075" s="1">
        <v>45634</v>
      </c>
      <c r="C1075" t="s">
        <v>20</v>
      </c>
      <c r="D1075" t="s">
        <v>15</v>
      </c>
      <c r="E1075">
        <v>1248</v>
      </c>
      <c r="F1075">
        <v>5</v>
      </c>
      <c r="G1075">
        <v>0.1</v>
      </c>
      <c r="H1075">
        <v>0.28999999999999998</v>
      </c>
      <c r="I1075" t="s">
        <v>12</v>
      </c>
      <c r="J1075" t="s">
        <v>210</v>
      </c>
      <c r="K1075">
        <f t="shared" si="16"/>
        <v>6240</v>
      </c>
    </row>
    <row r="1076" spans="1:11">
      <c r="A1076">
        <v>1075</v>
      </c>
      <c r="B1076" s="1">
        <v>45294</v>
      </c>
      <c r="C1076" t="s">
        <v>14</v>
      </c>
      <c r="D1076" t="s">
        <v>15</v>
      </c>
      <c r="E1076">
        <v>959.06</v>
      </c>
      <c r="F1076">
        <v>1</v>
      </c>
      <c r="G1076">
        <v>0.28000000000000003</v>
      </c>
      <c r="H1076">
        <v>0.38</v>
      </c>
      <c r="I1076" t="s">
        <v>16</v>
      </c>
      <c r="J1076" t="s">
        <v>212</v>
      </c>
      <c r="K1076">
        <f t="shared" si="16"/>
        <v>959.06</v>
      </c>
    </row>
    <row r="1077" spans="1:11">
      <c r="A1077">
        <v>1076</v>
      </c>
      <c r="B1077" s="1">
        <v>45352</v>
      </c>
      <c r="C1077" t="s">
        <v>20</v>
      </c>
      <c r="D1077" t="s">
        <v>15</v>
      </c>
      <c r="E1077">
        <v>1243.26</v>
      </c>
      <c r="F1077">
        <v>2</v>
      </c>
      <c r="G1077">
        <v>0.28000000000000003</v>
      </c>
      <c r="H1077">
        <v>0.35</v>
      </c>
      <c r="I1077" t="s">
        <v>21</v>
      </c>
      <c r="J1077" t="s">
        <v>125</v>
      </c>
      <c r="K1077">
        <f t="shared" si="16"/>
        <v>2486.52</v>
      </c>
    </row>
    <row r="1078" spans="1:11">
      <c r="A1078">
        <v>1077</v>
      </c>
      <c r="B1078" s="1">
        <v>45519</v>
      </c>
      <c r="C1078" t="s">
        <v>23</v>
      </c>
      <c r="D1078" t="s">
        <v>15</v>
      </c>
      <c r="E1078">
        <v>487.71</v>
      </c>
      <c r="F1078">
        <v>2</v>
      </c>
      <c r="G1078">
        <v>0.04</v>
      </c>
      <c r="H1078">
        <v>0.28000000000000003</v>
      </c>
      <c r="I1078" t="s">
        <v>12</v>
      </c>
      <c r="J1078" t="s">
        <v>168</v>
      </c>
      <c r="K1078">
        <f t="shared" si="16"/>
        <v>975.42</v>
      </c>
    </row>
    <row r="1079" spans="1:11">
      <c r="A1079">
        <v>1078</v>
      </c>
      <c r="B1079" s="1">
        <v>45482</v>
      </c>
      <c r="C1079" t="s">
        <v>26</v>
      </c>
      <c r="D1079" t="s">
        <v>11</v>
      </c>
      <c r="E1079">
        <v>839.11</v>
      </c>
      <c r="F1079">
        <v>4</v>
      </c>
      <c r="G1079">
        <v>0.04</v>
      </c>
      <c r="H1079">
        <v>0.16</v>
      </c>
      <c r="I1079" t="s">
        <v>21</v>
      </c>
      <c r="J1079" t="s">
        <v>231</v>
      </c>
      <c r="K1079">
        <f t="shared" si="16"/>
        <v>3356.44</v>
      </c>
    </row>
    <row r="1080" spans="1:11">
      <c r="A1080">
        <v>1079</v>
      </c>
      <c r="B1080" s="1">
        <v>45332</v>
      </c>
      <c r="C1080" t="s">
        <v>14</v>
      </c>
      <c r="D1080" t="s">
        <v>15</v>
      </c>
      <c r="E1080">
        <v>995.2</v>
      </c>
      <c r="F1080">
        <v>3</v>
      </c>
      <c r="G1080">
        <v>0.19</v>
      </c>
      <c r="H1080">
        <v>0.28000000000000003</v>
      </c>
      <c r="I1080" t="s">
        <v>21</v>
      </c>
      <c r="J1080" t="s">
        <v>190</v>
      </c>
      <c r="K1080">
        <f t="shared" si="16"/>
        <v>2985.6000000000004</v>
      </c>
    </row>
    <row r="1081" spans="1:11">
      <c r="A1081">
        <v>1080</v>
      </c>
      <c r="B1081" s="1">
        <v>45478</v>
      </c>
      <c r="C1081" t="s">
        <v>20</v>
      </c>
      <c r="D1081" t="s">
        <v>15</v>
      </c>
      <c r="E1081">
        <v>800.97</v>
      </c>
      <c r="F1081">
        <v>3</v>
      </c>
      <c r="G1081">
        <v>0.21</v>
      </c>
      <c r="H1081">
        <v>0.16</v>
      </c>
      <c r="I1081" t="s">
        <v>12</v>
      </c>
      <c r="J1081" t="s">
        <v>218</v>
      </c>
      <c r="K1081">
        <f t="shared" si="16"/>
        <v>2402.91</v>
      </c>
    </row>
    <row r="1082" spans="1:11">
      <c r="A1082">
        <v>1081</v>
      </c>
      <c r="B1082" s="1">
        <v>45304</v>
      </c>
      <c r="C1082" t="s">
        <v>10</v>
      </c>
      <c r="D1082" t="s">
        <v>11</v>
      </c>
      <c r="E1082">
        <v>1206.3800000000001</v>
      </c>
      <c r="F1082">
        <v>2</v>
      </c>
      <c r="G1082">
        <v>0.11</v>
      </c>
      <c r="H1082">
        <v>0.26</v>
      </c>
      <c r="I1082" t="s">
        <v>21</v>
      </c>
      <c r="J1082" t="s">
        <v>275</v>
      </c>
      <c r="K1082">
        <f t="shared" si="16"/>
        <v>2412.7600000000002</v>
      </c>
    </row>
    <row r="1083" spans="1:11">
      <c r="A1083">
        <v>1082</v>
      </c>
      <c r="B1083" s="1">
        <v>45494</v>
      </c>
      <c r="C1083" t="s">
        <v>20</v>
      </c>
      <c r="D1083" t="s">
        <v>15</v>
      </c>
      <c r="E1083">
        <v>530.82000000000005</v>
      </c>
      <c r="F1083">
        <v>4</v>
      </c>
      <c r="G1083">
        <v>0.01</v>
      </c>
      <c r="H1083">
        <v>0.31</v>
      </c>
      <c r="I1083" t="s">
        <v>24</v>
      </c>
      <c r="J1083" t="s">
        <v>74</v>
      </c>
      <c r="K1083">
        <f t="shared" si="16"/>
        <v>2123.2800000000002</v>
      </c>
    </row>
    <row r="1084" spans="1:11">
      <c r="A1084">
        <v>1083</v>
      </c>
      <c r="B1084" s="1">
        <v>45332</v>
      </c>
      <c r="C1084" t="s">
        <v>10</v>
      </c>
      <c r="D1084" t="s">
        <v>11</v>
      </c>
      <c r="E1084">
        <v>107.22</v>
      </c>
      <c r="F1084">
        <v>5</v>
      </c>
      <c r="G1084">
        <v>0.11</v>
      </c>
      <c r="H1084">
        <v>0.13</v>
      </c>
      <c r="I1084" t="s">
        <v>12</v>
      </c>
      <c r="J1084" t="s">
        <v>280</v>
      </c>
      <c r="K1084">
        <f t="shared" si="16"/>
        <v>536.1</v>
      </c>
    </row>
    <row r="1085" spans="1:11">
      <c r="A1085">
        <v>1084</v>
      </c>
      <c r="B1085" s="1">
        <v>45421</v>
      </c>
      <c r="C1085" t="s">
        <v>23</v>
      </c>
      <c r="D1085" t="s">
        <v>15</v>
      </c>
      <c r="E1085">
        <v>143.86000000000001</v>
      </c>
      <c r="F1085">
        <v>1</v>
      </c>
      <c r="G1085">
        <v>0.03</v>
      </c>
      <c r="H1085">
        <v>0.37</v>
      </c>
      <c r="I1085" t="s">
        <v>24</v>
      </c>
      <c r="J1085" t="s">
        <v>122</v>
      </c>
      <c r="K1085">
        <f t="shared" si="16"/>
        <v>143.86000000000001</v>
      </c>
    </row>
    <row r="1086" spans="1:11">
      <c r="A1086">
        <v>1085</v>
      </c>
      <c r="B1086" s="1">
        <v>45628</v>
      </c>
      <c r="C1086" t="s">
        <v>31</v>
      </c>
      <c r="D1086" t="s">
        <v>11</v>
      </c>
      <c r="E1086">
        <v>610.98</v>
      </c>
      <c r="F1086">
        <v>4</v>
      </c>
      <c r="G1086">
        <v>0.04</v>
      </c>
      <c r="H1086">
        <v>0.19</v>
      </c>
      <c r="I1086" t="s">
        <v>12</v>
      </c>
      <c r="J1086" t="s">
        <v>153</v>
      </c>
      <c r="K1086">
        <f t="shared" si="16"/>
        <v>2443.92</v>
      </c>
    </row>
    <row r="1087" spans="1:11">
      <c r="A1087">
        <v>1086</v>
      </c>
      <c r="B1087" s="1">
        <v>45494</v>
      </c>
      <c r="C1087" t="s">
        <v>31</v>
      </c>
      <c r="D1087" t="s">
        <v>11</v>
      </c>
      <c r="E1087">
        <v>189.44</v>
      </c>
      <c r="F1087">
        <v>2</v>
      </c>
      <c r="G1087">
        <v>0.28999999999999998</v>
      </c>
      <c r="H1087">
        <v>0.16</v>
      </c>
      <c r="I1087" t="s">
        <v>16</v>
      </c>
      <c r="J1087" t="s">
        <v>233</v>
      </c>
      <c r="K1087">
        <f t="shared" si="16"/>
        <v>378.88</v>
      </c>
    </row>
    <row r="1088" spans="1:11">
      <c r="A1088">
        <v>1087</v>
      </c>
      <c r="B1088" s="1">
        <v>45656</v>
      </c>
      <c r="C1088" t="s">
        <v>20</v>
      </c>
      <c r="D1088" t="s">
        <v>15</v>
      </c>
      <c r="E1088">
        <v>379.32</v>
      </c>
      <c r="F1088">
        <v>2</v>
      </c>
      <c r="G1088">
        <v>0.27</v>
      </c>
      <c r="H1088">
        <v>0.27</v>
      </c>
      <c r="I1088" t="s">
        <v>12</v>
      </c>
      <c r="J1088" t="s">
        <v>237</v>
      </c>
      <c r="K1088">
        <f t="shared" si="16"/>
        <v>758.64</v>
      </c>
    </row>
    <row r="1089" spans="1:11">
      <c r="A1089">
        <v>1088</v>
      </c>
      <c r="B1089" s="1">
        <v>45373</v>
      </c>
      <c r="C1089" t="s">
        <v>23</v>
      </c>
      <c r="D1089" t="s">
        <v>15</v>
      </c>
      <c r="E1089">
        <v>1318.01</v>
      </c>
      <c r="F1089">
        <v>2</v>
      </c>
      <c r="G1089">
        <v>0.05</v>
      </c>
      <c r="H1089">
        <v>0.37</v>
      </c>
      <c r="I1089" t="s">
        <v>16</v>
      </c>
      <c r="J1089" t="s">
        <v>106</v>
      </c>
      <c r="K1089">
        <f t="shared" si="16"/>
        <v>2636.02</v>
      </c>
    </row>
    <row r="1090" spans="1:11">
      <c r="A1090">
        <v>1089</v>
      </c>
      <c r="B1090" s="1">
        <v>45338</v>
      </c>
      <c r="C1090" t="s">
        <v>26</v>
      </c>
      <c r="D1090" t="s">
        <v>11</v>
      </c>
      <c r="E1090">
        <v>321.86</v>
      </c>
      <c r="F1090">
        <v>1</v>
      </c>
      <c r="G1090">
        <v>0.03</v>
      </c>
      <c r="H1090">
        <v>0.1</v>
      </c>
      <c r="I1090" t="s">
        <v>16</v>
      </c>
      <c r="J1090" t="s">
        <v>147</v>
      </c>
      <c r="K1090">
        <f t="shared" si="16"/>
        <v>321.86</v>
      </c>
    </row>
    <row r="1091" spans="1:11">
      <c r="A1091">
        <v>1090</v>
      </c>
      <c r="B1091" s="1">
        <v>45538</v>
      </c>
      <c r="C1091" t="s">
        <v>31</v>
      </c>
      <c r="D1091" t="s">
        <v>11</v>
      </c>
      <c r="E1091">
        <v>1324.32</v>
      </c>
      <c r="F1091">
        <v>1</v>
      </c>
      <c r="G1091">
        <v>0.09</v>
      </c>
      <c r="H1091">
        <v>0.25</v>
      </c>
      <c r="I1091" t="s">
        <v>16</v>
      </c>
      <c r="J1091" t="s">
        <v>88</v>
      </c>
      <c r="K1091">
        <f t="shared" si="16"/>
        <v>1324.32</v>
      </c>
    </row>
    <row r="1092" spans="1:11">
      <c r="A1092">
        <v>1091</v>
      </c>
      <c r="B1092" s="1">
        <v>45465</v>
      </c>
      <c r="C1092" t="s">
        <v>10</v>
      </c>
      <c r="D1092" t="s">
        <v>11</v>
      </c>
      <c r="E1092">
        <v>1122.26</v>
      </c>
      <c r="F1092">
        <v>4</v>
      </c>
      <c r="G1092">
        <v>0.15</v>
      </c>
      <c r="H1092">
        <v>0.31</v>
      </c>
      <c r="I1092" t="s">
        <v>12</v>
      </c>
      <c r="J1092" t="s">
        <v>217</v>
      </c>
      <c r="K1092">
        <f t="shared" ref="K1092:K1155" si="17">E1092*F1092</f>
        <v>4489.04</v>
      </c>
    </row>
    <row r="1093" spans="1:11">
      <c r="A1093">
        <v>1092</v>
      </c>
      <c r="B1093" s="1">
        <v>45589</v>
      </c>
      <c r="C1093" t="s">
        <v>23</v>
      </c>
      <c r="D1093" t="s">
        <v>15</v>
      </c>
      <c r="E1093">
        <v>1443.29</v>
      </c>
      <c r="F1093">
        <v>2</v>
      </c>
      <c r="G1093">
        <v>0.25</v>
      </c>
      <c r="H1093">
        <v>0.16</v>
      </c>
      <c r="I1093" t="s">
        <v>16</v>
      </c>
      <c r="J1093" t="s">
        <v>40</v>
      </c>
      <c r="K1093">
        <f t="shared" si="17"/>
        <v>2886.58</v>
      </c>
    </row>
    <row r="1094" spans="1:11">
      <c r="A1094">
        <v>1093</v>
      </c>
      <c r="B1094" s="1">
        <v>45610</v>
      </c>
      <c r="C1094" t="s">
        <v>31</v>
      </c>
      <c r="D1094" t="s">
        <v>11</v>
      </c>
      <c r="E1094">
        <v>841.5</v>
      </c>
      <c r="F1094">
        <v>4</v>
      </c>
      <c r="G1094">
        <v>0.23</v>
      </c>
      <c r="H1094">
        <v>0.34</v>
      </c>
      <c r="I1094" t="s">
        <v>12</v>
      </c>
      <c r="J1094" t="s">
        <v>87</v>
      </c>
      <c r="K1094">
        <f t="shared" si="17"/>
        <v>3366</v>
      </c>
    </row>
    <row r="1095" spans="1:11">
      <c r="A1095">
        <v>1094</v>
      </c>
      <c r="B1095" s="1">
        <v>45599</v>
      </c>
      <c r="C1095" t="s">
        <v>31</v>
      </c>
      <c r="D1095" t="s">
        <v>11</v>
      </c>
      <c r="E1095">
        <v>1094.54</v>
      </c>
      <c r="F1095">
        <v>1</v>
      </c>
      <c r="G1095">
        <v>0.25</v>
      </c>
      <c r="H1095">
        <v>0.21</v>
      </c>
      <c r="I1095" t="s">
        <v>21</v>
      </c>
      <c r="J1095" t="s">
        <v>317</v>
      </c>
      <c r="K1095">
        <f t="shared" si="17"/>
        <v>1094.54</v>
      </c>
    </row>
    <row r="1096" spans="1:11">
      <c r="A1096">
        <v>1095</v>
      </c>
      <c r="B1096" s="1">
        <v>45609</v>
      </c>
      <c r="C1096" t="s">
        <v>10</v>
      </c>
      <c r="D1096" t="s">
        <v>11</v>
      </c>
      <c r="E1096">
        <v>1192.1400000000001</v>
      </c>
      <c r="F1096">
        <v>4</v>
      </c>
      <c r="G1096">
        <v>0.24</v>
      </c>
      <c r="H1096">
        <v>0.35</v>
      </c>
      <c r="I1096" t="s">
        <v>21</v>
      </c>
      <c r="J1096" t="s">
        <v>308</v>
      </c>
      <c r="K1096">
        <f t="shared" si="17"/>
        <v>4768.5600000000004</v>
      </c>
    </row>
    <row r="1097" spans="1:11">
      <c r="A1097">
        <v>1096</v>
      </c>
      <c r="B1097" s="1">
        <v>45491</v>
      </c>
      <c r="C1097" t="s">
        <v>14</v>
      </c>
      <c r="D1097" t="s">
        <v>15</v>
      </c>
      <c r="E1097">
        <v>682.78</v>
      </c>
      <c r="F1097">
        <v>1</v>
      </c>
      <c r="G1097">
        <v>0.12</v>
      </c>
      <c r="H1097">
        <v>0.3</v>
      </c>
      <c r="I1097" t="s">
        <v>21</v>
      </c>
      <c r="J1097" t="s">
        <v>97</v>
      </c>
      <c r="K1097">
        <f t="shared" si="17"/>
        <v>682.78</v>
      </c>
    </row>
    <row r="1098" spans="1:11">
      <c r="A1098">
        <v>1097</v>
      </c>
      <c r="B1098" s="1">
        <v>45362</v>
      </c>
      <c r="C1098" t="s">
        <v>26</v>
      </c>
      <c r="D1098" t="s">
        <v>11</v>
      </c>
      <c r="E1098">
        <v>1129.72</v>
      </c>
      <c r="F1098">
        <v>4</v>
      </c>
      <c r="G1098">
        <v>0.19</v>
      </c>
      <c r="H1098">
        <v>0.24</v>
      </c>
      <c r="I1098" t="s">
        <v>16</v>
      </c>
      <c r="J1098" t="s">
        <v>162</v>
      </c>
      <c r="K1098">
        <f t="shared" si="17"/>
        <v>4518.88</v>
      </c>
    </row>
    <row r="1099" spans="1:11">
      <c r="A1099">
        <v>1098</v>
      </c>
      <c r="B1099" s="1">
        <v>45452</v>
      </c>
      <c r="C1099" t="s">
        <v>31</v>
      </c>
      <c r="D1099" t="s">
        <v>11</v>
      </c>
      <c r="E1099">
        <v>1130.32</v>
      </c>
      <c r="F1099">
        <v>3</v>
      </c>
      <c r="G1099">
        <v>0.03</v>
      </c>
      <c r="H1099">
        <v>0.28000000000000003</v>
      </c>
      <c r="I1099" t="s">
        <v>24</v>
      </c>
      <c r="J1099" t="s">
        <v>179</v>
      </c>
      <c r="K1099">
        <f t="shared" si="17"/>
        <v>3390.96</v>
      </c>
    </row>
    <row r="1100" spans="1:11">
      <c r="A1100">
        <v>1099</v>
      </c>
      <c r="B1100" s="1">
        <v>45359</v>
      </c>
      <c r="C1100" t="s">
        <v>23</v>
      </c>
      <c r="D1100" t="s">
        <v>15</v>
      </c>
      <c r="E1100">
        <v>1129.2</v>
      </c>
      <c r="F1100">
        <v>5</v>
      </c>
      <c r="G1100">
        <v>0.11</v>
      </c>
      <c r="H1100">
        <v>0.13</v>
      </c>
      <c r="I1100" t="s">
        <v>12</v>
      </c>
      <c r="J1100" t="s">
        <v>49</v>
      </c>
      <c r="K1100">
        <f t="shared" si="17"/>
        <v>5646</v>
      </c>
    </row>
    <row r="1101" spans="1:11">
      <c r="A1101">
        <v>1100</v>
      </c>
      <c r="B1101" s="1">
        <v>45340</v>
      </c>
      <c r="C1101" t="s">
        <v>26</v>
      </c>
      <c r="D1101" t="s">
        <v>11</v>
      </c>
      <c r="E1101">
        <v>1079.81</v>
      </c>
      <c r="F1101">
        <v>3</v>
      </c>
      <c r="G1101">
        <v>0.18</v>
      </c>
      <c r="H1101">
        <v>0.34</v>
      </c>
      <c r="I1101" t="s">
        <v>16</v>
      </c>
      <c r="J1101" t="s">
        <v>263</v>
      </c>
      <c r="K1101">
        <f t="shared" si="17"/>
        <v>3239.43</v>
      </c>
    </row>
    <row r="1102" spans="1:11">
      <c r="A1102">
        <v>1101</v>
      </c>
      <c r="B1102" s="1">
        <v>45389</v>
      </c>
      <c r="C1102" t="s">
        <v>23</v>
      </c>
      <c r="D1102" t="s">
        <v>15</v>
      </c>
      <c r="E1102">
        <v>1349.48</v>
      </c>
      <c r="F1102">
        <v>4</v>
      </c>
      <c r="G1102">
        <v>0.16</v>
      </c>
      <c r="H1102">
        <v>0.28999999999999998</v>
      </c>
      <c r="I1102" t="s">
        <v>12</v>
      </c>
      <c r="J1102" t="s">
        <v>171</v>
      </c>
      <c r="K1102">
        <f t="shared" si="17"/>
        <v>5397.92</v>
      </c>
    </row>
    <row r="1103" spans="1:11">
      <c r="A1103">
        <v>1102</v>
      </c>
      <c r="B1103" s="1">
        <v>45357</v>
      </c>
      <c r="C1103" t="s">
        <v>10</v>
      </c>
      <c r="D1103" t="s">
        <v>11</v>
      </c>
      <c r="E1103">
        <v>1008.43</v>
      </c>
      <c r="F1103">
        <v>5</v>
      </c>
      <c r="G1103">
        <v>0.06</v>
      </c>
      <c r="H1103">
        <v>0.1</v>
      </c>
      <c r="I1103" t="s">
        <v>21</v>
      </c>
      <c r="J1103" t="s">
        <v>186</v>
      </c>
      <c r="K1103">
        <f t="shared" si="17"/>
        <v>5042.1499999999996</v>
      </c>
    </row>
    <row r="1104" spans="1:11">
      <c r="A1104">
        <v>1103</v>
      </c>
      <c r="B1104" s="1">
        <v>45421</v>
      </c>
      <c r="C1104" t="s">
        <v>10</v>
      </c>
      <c r="D1104" t="s">
        <v>11</v>
      </c>
      <c r="E1104">
        <v>57.58</v>
      </c>
      <c r="F1104">
        <v>5</v>
      </c>
      <c r="G1104">
        <v>0.2</v>
      </c>
      <c r="H1104">
        <v>0.35</v>
      </c>
      <c r="I1104" t="s">
        <v>21</v>
      </c>
      <c r="J1104" t="s">
        <v>64</v>
      </c>
      <c r="K1104">
        <f t="shared" si="17"/>
        <v>287.89999999999998</v>
      </c>
    </row>
    <row r="1105" spans="1:11">
      <c r="A1105">
        <v>1104</v>
      </c>
      <c r="B1105" s="1">
        <v>45587</v>
      </c>
      <c r="C1105" t="s">
        <v>10</v>
      </c>
      <c r="D1105" t="s">
        <v>11</v>
      </c>
      <c r="E1105">
        <v>250.89</v>
      </c>
      <c r="F1105">
        <v>3</v>
      </c>
      <c r="G1105">
        <v>0.28000000000000003</v>
      </c>
      <c r="H1105">
        <v>0.25</v>
      </c>
      <c r="I1105" t="s">
        <v>24</v>
      </c>
      <c r="J1105" t="s">
        <v>166</v>
      </c>
      <c r="K1105">
        <f t="shared" si="17"/>
        <v>752.67</v>
      </c>
    </row>
    <row r="1106" spans="1:11">
      <c r="A1106">
        <v>1105</v>
      </c>
      <c r="B1106" s="1">
        <v>45335</v>
      </c>
      <c r="C1106" t="s">
        <v>10</v>
      </c>
      <c r="D1106" t="s">
        <v>11</v>
      </c>
      <c r="E1106">
        <v>1160.3800000000001</v>
      </c>
      <c r="F1106">
        <v>4</v>
      </c>
      <c r="G1106">
        <v>0.13</v>
      </c>
      <c r="H1106">
        <v>0.19</v>
      </c>
      <c r="I1106" t="s">
        <v>21</v>
      </c>
      <c r="J1106" t="s">
        <v>156</v>
      </c>
      <c r="K1106">
        <f t="shared" si="17"/>
        <v>4641.5200000000004</v>
      </c>
    </row>
    <row r="1107" spans="1:11">
      <c r="A1107">
        <v>1106</v>
      </c>
      <c r="B1107" s="1">
        <v>45303</v>
      </c>
      <c r="C1107" t="s">
        <v>10</v>
      </c>
      <c r="D1107" t="s">
        <v>11</v>
      </c>
      <c r="E1107">
        <v>981.49</v>
      </c>
      <c r="F1107">
        <v>5</v>
      </c>
      <c r="G1107">
        <v>0.27</v>
      </c>
      <c r="H1107">
        <v>0.14000000000000001</v>
      </c>
      <c r="I1107" t="s">
        <v>24</v>
      </c>
      <c r="J1107" t="s">
        <v>153</v>
      </c>
      <c r="K1107">
        <f t="shared" si="17"/>
        <v>4907.45</v>
      </c>
    </row>
    <row r="1108" spans="1:11">
      <c r="A1108">
        <v>1107</v>
      </c>
      <c r="B1108" s="1">
        <v>45339</v>
      </c>
      <c r="C1108" t="s">
        <v>26</v>
      </c>
      <c r="D1108" t="s">
        <v>11</v>
      </c>
      <c r="E1108">
        <v>1267.1099999999999</v>
      </c>
      <c r="F1108">
        <v>5</v>
      </c>
      <c r="G1108">
        <v>0.12</v>
      </c>
      <c r="H1108">
        <v>0.24</v>
      </c>
      <c r="I1108" t="s">
        <v>21</v>
      </c>
      <c r="J1108" t="s">
        <v>313</v>
      </c>
      <c r="K1108">
        <f t="shared" si="17"/>
        <v>6335.5499999999993</v>
      </c>
    </row>
    <row r="1109" spans="1:11">
      <c r="A1109">
        <v>1108</v>
      </c>
      <c r="B1109" s="1">
        <v>45595</v>
      </c>
      <c r="C1109" t="s">
        <v>14</v>
      </c>
      <c r="D1109" t="s">
        <v>15</v>
      </c>
      <c r="E1109">
        <v>886.28</v>
      </c>
      <c r="F1109">
        <v>4</v>
      </c>
      <c r="G1109">
        <v>0.26</v>
      </c>
      <c r="H1109">
        <v>0.13</v>
      </c>
      <c r="I1109" t="s">
        <v>21</v>
      </c>
      <c r="J1109" t="s">
        <v>300</v>
      </c>
      <c r="K1109">
        <f t="shared" si="17"/>
        <v>3545.12</v>
      </c>
    </row>
    <row r="1110" spans="1:11">
      <c r="A1110">
        <v>1109</v>
      </c>
      <c r="B1110" s="1">
        <v>45360</v>
      </c>
      <c r="C1110" t="s">
        <v>10</v>
      </c>
      <c r="D1110" t="s">
        <v>11</v>
      </c>
      <c r="E1110">
        <v>550.24</v>
      </c>
      <c r="F1110">
        <v>5</v>
      </c>
      <c r="G1110">
        <v>0.05</v>
      </c>
      <c r="H1110">
        <v>0.23</v>
      </c>
      <c r="I1110" t="s">
        <v>24</v>
      </c>
      <c r="J1110" t="s">
        <v>84</v>
      </c>
      <c r="K1110">
        <f t="shared" si="17"/>
        <v>2751.2</v>
      </c>
    </row>
    <row r="1111" spans="1:11">
      <c r="A1111">
        <v>1110</v>
      </c>
      <c r="B1111" s="1">
        <v>45308</v>
      </c>
      <c r="C1111" t="s">
        <v>20</v>
      </c>
      <c r="D1111" t="s">
        <v>15</v>
      </c>
      <c r="E1111">
        <v>1067.24</v>
      </c>
      <c r="F1111">
        <v>5</v>
      </c>
      <c r="G1111">
        <v>0.04</v>
      </c>
      <c r="H1111">
        <v>0.14000000000000001</v>
      </c>
      <c r="I1111" t="s">
        <v>21</v>
      </c>
      <c r="J1111" t="s">
        <v>266</v>
      </c>
      <c r="K1111">
        <f t="shared" si="17"/>
        <v>5336.2</v>
      </c>
    </row>
    <row r="1112" spans="1:11">
      <c r="A1112">
        <v>1111</v>
      </c>
      <c r="B1112" s="1">
        <v>45397</v>
      </c>
      <c r="C1112" t="s">
        <v>23</v>
      </c>
      <c r="D1112" t="s">
        <v>15</v>
      </c>
      <c r="E1112">
        <v>789.16</v>
      </c>
      <c r="F1112">
        <v>5</v>
      </c>
      <c r="G1112">
        <v>0.25</v>
      </c>
      <c r="H1112">
        <v>0.31</v>
      </c>
      <c r="I1112" t="s">
        <v>21</v>
      </c>
      <c r="J1112" t="s">
        <v>216</v>
      </c>
      <c r="K1112">
        <f t="shared" si="17"/>
        <v>3945.7999999999997</v>
      </c>
    </row>
    <row r="1113" spans="1:11">
      <c r="A1113">
        <v>1112</v>
      </c>
      <c r="B1113" s="1">
        <v>45557</v>
      </c>
      <c r="C1113" t="s">
        <v>20</v>
      </c>
      <c r="D1113" t="s">
        <v>15</v>
      </c>
      <c r="E1113">
        <v>1008.72</v>
      </c>
      <c r="F1113">
        <v>3</v>
      </c>
      <c r="G1113">
        <v>0.09</v>
      </c>
      <c r="H1113">
        <v>0.18</v>
      </c>
      <c r="I1113" t="s">
        <v>12</v>
      </c>
      <c r="J1113" t="s">
        <v>169</v>
      </c>
      <c r="K1113">
        <f t="shared" si="17"/>
        <v>3026.16</v>
      </c>
    </row>
    <row r="1114" spans="1:11">
      <c r="A1114">
        <v>1113</v>
      </c>
      <c r="B1114" s="1">
        <v>45301</v>
      </c>
      <c r="C1114" t="s">
        <v>31</v>
      </c>
      <c r="D1114" t="s">
        <v>11</v>
      </c>
      <c r="E1114">
        <v>1396.99</v>
      </c>
      <c r="F1114">
        <v>4</v>
      </c>
      <c r="G1114">
        <v>0.03</v>
      </c>
      <c r="H1114">
        <v>0.26</v>
      </c>
      <c r="I1114" t="s">
        <v>21</v>
      </c>
      <c r="J1114" t="s">
        <v>108</v>
      </c>
      <c r="K1114">
        <f t="shared" si="17"/>
        <v>5587.96</v>
      </c>
    </row>
    <row r="1115" spans="1:11">
      <c r="A1115">
        <v>1114</v>
      </c>
      <c r="B1115" s="1">
        <v>45548</v>
      </c>
      <c r="C1115" t="s">
        <v>26</v>
      </c>
      <c r="D1115" t="s">
        <v>11</v>
      </c>
      <c r="E1115">
        <v>1095.98</v>
      </c>
      <c r="F1115">
        <v>1</v>
      </c>
      <c r="G1115">
        <v>0.24</v>
      </c>
      <c r="H1115">
        <v>0.34</v>
      </c>
      <c r="I1115" t="s">
        <v>24</v>
      </c>
      <c r="J1115" t="s">
        <v>308</v>
      </c>
      <c r="K1115">
        <f t="shared" si="17"/>
        <v>1095.98</v>
      </c>
    </row>
    <row r="1116" spans="1:11">
      <c r="A1116">
        <v>1115</v>
      </c>
      <c r="B1116" s="1">
        <v>45376</v>
      </c>
      <c r="C1116" t="s">
        <v>26</v>
      </c>
      <c r="D1116" t="s">
        <v>11</v>
      </c>
      <c r="E1116">
        <v>857.51</v>
      </c>
      <c r="F1116">
        <v>4</v>
      </c>
      <c r="G1116">
        <v>0.05</v>
      </c>
      <c r="H1116">
        <v>0.31</v>
      </c>
      <c r="I1116" t="s">
        <v>21</v>
      </c>
      <c r="J1116" t="s">
        <v>25</v>
      </c>
      <c r="K1116">
        <f t="shared" si="17"/>
        <v>3430.04</v>
      </c>
    </row>
    <row r="1117" spans="1:11">
      <c r="A1117">
        <v>1116</v>
      </c>
      <c r="B1117" s="1">
        <v>45303</v>
      </c>
      <c r="C1117" t="s">
        <v>20</v>
      </c>
      <c r="D1117" t="s">
        <v>15</v>
      </c>
      <c r="E1117">
        <v>935.36</v>
      </c>
      <c r="F1117">
        <v>4</v>
      </c>
      <c r="G1117">
        <v>0.17</v>
      </c>
      <c r="H1117">
        <v>0.14000000000000001</v>
      </c>
      <c r="I1117" t="s">
        <v>24</v>
      </c>
      <c r="J1117" t="s">
        <v>199</v>
      </c>
      <c r="K1117">
        <f t="shared" si="17"/>
        <v>3741.44</v>
      </c>
    </row>
    <row r="1118" spans="1:11">
      <c r="A1118">
        <v>1117</v>
      </c>
      <c r="B1118" s="1">
        <v>45558</v>
      </c>
      <c r="C1118" t="s">
        <v>20</v>
      </c>
      <c r="D1118" t="s">
        <v>15</v>
      </c>
      <c r="E1118">
        <v>1149.26</v>
      </c>
      <c r="F1118">
        <v>2</v>
      </c>
      <c r="G1118">
        <v>0.06</v>
      </c>
      <c r="H1118">
        <v>0.2</v>
      </c>
      <c r="I1118" t="s">
        <v>21</v>
      </c>
      <c r="J1118" t="s">
        <v>195</v>
      </c>
      <c r="K1118">
        <f t="shared" si="17"/>
        <v>2298.52</v>
      </c>
    </row>
    <row r="1119" spans="1:11">
      <c r="A1119">
        <v>1118</v>
      </c>
      <c r="B1119" s="1">
        <v>45430</v>
      </c>
      <c r="C1119" t="s">
        <v>14</v>
      </c>
      <c r="D1119" t="s">
        <v>15</v>
      </c>
      <c r="E1119">
        <v>944.48</v>
      </c>
      <c r="F1119">
        <v>4</v>
      </c>
      <c r="G1119">
        <v>0.15</v>
      </c>
      <c r="H1119">
        <v>0.26</v>
      </c>
      <c r="I1119" t="s">
        <v>24</v>
      </c>
      <c r="J1119" t="s">
        <v>285</v>
      </c>
      <c r="K1119">
        <f t="shared" si="17"/>
        <v>3777.92</v>
      </c>
    </row>
    <row r="1120" spans="1:11">
      <c r="A1120">
        <v>1119</v>
      </c>
      <c r="B1120" s="1">
        <v>45299</v>
      </c>
      <c r="C1120" t="s">
        <v>26</v>
      </c>
      <c r="D1120" t="s">
        <v>11</v>
      </c>
      <c r="E1120">
        <v>226.15</v>
      </c>
      <c r="F1120">
        <v>4</v>
      </c>
      <c r="G1120">
        <v>0.06</v>
      </c>
      <c r="H1120">
        <v>0.34</v>
      </c>
      <c r="I1120" t="s">
        <v>16</v>
      </c>
      <c r="J1120" t="s">
        <v>34</v>
      </c>
      <c r="K1120">
        <f t="shared" si="17"/>
        <v>904.6</v>
      </c>
    </row>
    <row r="1121" spans="1:11">
      <c r="A1121">
        <v>1120</v>
      </c>
      <c r="B1121" s="1">
        <v>45533</v>
      </c>
      <c r="C1121" t="s">
        <v>23</v>
      </c>
      <c r="D1121" t="s">
        <v>15</v>
      </c>
      <c r="E1121">
        <v>1167.27</v>
      </c>
      <c r="F1121">
        <v>2</v>
      </c>
      <c r="G1121">
        <v>0.13</v>
      </c>
      <c r="H1121">
        <v>0.3</v>
      </c>
      <c r="I1121" t="s">
        <v>16</v>
      </c>
      <c r="J1121" t="s">
        <v>230</v>
      </c>
      <c r="K1121">
        <f t="shared" si="17"/>
        <v>2334.54</v>
      </c>
    </row>
    <row r="1122" spans="1:11">
      <c r="A1122">
        <v>1121</v>
      </c>
      <c r="B1122" s="1">
        <v>45311</v>
      </c>
      <c r="C1122" t="s">
        <v>20</v>
      </c>
      <c r="D1122" t="s">
        <v>15</v>
      </c>
      <c r="E1122">
        <v>433.21</v>
      </c>
      <c r="F1122">
        <v>5</v>
      </c>
      <c r="G1122">
        <v>0.04</v>
      </c>
      <c r="H1122">
        <v>0.12</v>
      </c>
      <c r="I1122" t="s">
        <v>12</v>
      </c>
      <c r="J1122" t="s">
        <v>168</v>
      </c>
      <c r="K1122">
        <f t="shared" si="17"/>
        <v>2166.0499999999997</v>
      </c>
    </row>
    <row r="1123" spans="1:11">
      <c r="A1123">
        <v>1122</v>
      </c>
      <c r="B1123" s="1">
        <v>45537</v>
      </c>
      <c r="C1123" t="s">
        <v>10</v>
      </c>
      <c r="D1123" t="s">
        <v>11</v>
      </c>
      <c r="E1123">
        <v>1385.9</v>
      </c>
      <c r="F1123">
        <v>1</v>
      </c>
      <c r="G1123">
        <v>0.1</v>
      </c>
      <c r="H1123">
        <v>0.32</v>
      </c>
      <c r="I1123" t="s">
        <v>24</v>
      </c>
      <c r="J1123" t="s">
        <v>268</v>
      </c>
      <c r="K1123">
        <f t="shared" si="17"/>
        <v>1385.9</v>
      </c>
    </row>
    <row r="1124" spans="1:11">
      <c r="A1124">
        <v>1123</v>
      </c>
      <c r="B1124" s="1">
        <v>45436</v>
      </c>
      <c r="C1124" t="s">
        <v>26</v>
      </c>
      <c r="D1124" t="s">
        <v>11</v>
      </c>
      <c r="E1124">
        <v>1297.17</v>
      </c>
      <c r="F1124">
        <v>4</v>
      </c>
      <c r="G1124">
        <v>0.26</v>
      </c>
      <c r="H1124">
        <v>0.11</v>
      </c>
      <c r="I1124" t="s">
        <v>16</v>
      </c>
      <c r="J1124" t="s">
        <v>305</v>
      </c>
      <c r="K1124">
        <f t="shared" si="17"/>
        <v>5188.68</v>
      </c>
    </row>
    <row r="1125" spans="1:11">
      <c r="A1125">
        <v>1124</v>
      </c>
      <c r="B1125" s="1">
        <v>45539</v>
      </c>
      <c r="C1125" t="s">
        <v>26</v>
      </c>
      <c r="D1125" t="s">
        <v>11</v>
      </c>
      <c r="E1125">
        <v>944.69</v>
      </c>
      <c r="F1125">
        <v>3</v>
      </c>
      <c r="G1125">
        <v>0.03</v>
      </c>
      <c r="H1125">
        <v>0.39</v>
      </c>
      <c r="I1125" t="s">
        <v>12</v>
      </c>
      <c r="J1125" t="s">
        <v>162</v>
      </c>
      <c r="K1125">
        <f t="shared" si="17"/>
        <v>2834.07</v>
      </c>
    </row>
    <row r="1126" spans="1:11">
      <c r="A1126">
        <v>1125</v>
      </c>
      <c r="B1126" s="1">
        <v>45309</v>
      </c>
      <c r="C1126" t="s">
        <v>23</v>
      </c>
      <c r="D1126" t="s">
        <v>15</v>
      </c>
      <c r="E1126">
        <v>289.91000000000003</v>
      </c>
      <c r="F1126">
        <v>1</v>
      </c>
      <c r="G1126">
        <v>7.0000000000000007E-2</v>
      </c>
      <c r="H1126">
        <v>0.25</v>
      </c>
      <c r="I1126" t="s">
        <v>12</v>
      </c>
      <c r="J1126" t="s">
        <v>132</v>
      </c>
      <c r="K1126">
        <f t="shared" si="17"/>
        <v>289.91000000000003</v>
      </c>
    </row>
    <row r="1127" spans="1:11">
      <c r="A1127">
        <v>1126</v>
      </c>
      <c r="B1127" s="1">
        <v>45589</v>
      </c>
      <c r="C1127" t="s">
        <v>14</v>
      </c>
      <c r="D1127" t="s">
        <v>15</v>
      </c>
      <c r="E1127">
        <v>135.47</v>
      </c>
      <c r="F1127">
        <v>1</v>
      </c>
      <c r="G1127">
        <v>0.14000000000000001</v>
      </c>
      <c r="H1127">
        <v>0.35</v>
      </c>
      <c r="I1127" t="s">
        <v>21</v>
      </c>
      <c r="J1127" t="s">
        <v>318</v>
      </c>
      <c r="K1127">
        <f t="shared" si="17"/>
        <v>135.47</v>
      </c>
    </row>
    <row r="1128" spans="1:11">
      <c r="A1128">
        <v>1127</v>
      </c>
      <c r="B1128" s="1">
        <v>45573</v>
      </c>
      <c r="C1128" t="s">
        <v>14</v>
      </c>
      <c r="D1128" t="s">
        <v>15</v>
      </c>
      <c r="E1128">
        <v>312.56</v>
      </c>
      <c r="F1128">
        <v>1</v>
      </c>
      <c r="G1128">
        <v>0.23</v>
      </c>
      <c r="H1128">
        <v>0.12</v>
      </c>
      <c r="I1128" t="s">
        <v>16</v>
      </c>
      <c r="J1128" t="s">
        <v>138</v>
      </c>
      <c r="K1128">
        <f t="shared" si="17"/>
        <v>312.56</v>
      </c>
    </row>
    <row r="1129" spans="1:11">
      <c r="A1129">
        <v>1128</v>
      </c>
      <c r="B1129" s="1">
        <v>45634</v>
      </c>
      <c r="C1129" t="s">
        <v>20</v>
      </c>
      <c r="D1129" t="s">
        <v>15</v>
      </c>
      <c r="E1129">
        <v>712.72</v>
      </c>
      <c r="F1129">
        <v>2</v>
      </c>
      <c r="G1129">
        <v>0.12</v>
      </c>
      <c r="H1129">
        <v>0.23</v>
      </c>
      <c r="I1129" t="s">
        <v>21</v>
      </c>
      <c r="J1129" t="s">
        <v>65</v>
      </c>
      <c r="K1129">
        <f t="shared" si="17"/>
        <v>1425.44</v>
      </c>
    </row>
    <row r="1130" spans="1:11">
      <c r="A1130">
        <v>1129</v>
      </c>
      <c r="B1130" s="1">
        <v>45520</v>
      </c>
      <c r="C1130" t="s">
        <v>23</v>
      </c>
      <c r="D1130" t="s">
        <v>15</v>
      </c>
      <c r="E1130">
        <v>199.01</v>
      </c>
      <c r="F1130">
        <v>1</v>
      </c>
      <c r="G1130">
        <v>0.25</v>
      </c>
      <c r="H1130">
        <v>0.18</v>
      </c>
      <c r="I1130" t="s">
        <v>12</v>
      </c>
      <c r="J1130" t="s">
        <v>198</v>
      </c>
      <c r="K1130">
        <f t="shared" si="17"/>
        <v>199.01</v>
      </c>
    </row>
    <row r="1131" spans="1:11">
      <c r="A1131">
        <v>1130</v>
      </c>
      <c r="B1131" s="1">
        <v>45401</v>
      </c>
      <c r="C1131" t="s">
        <v>31</v>
      </c>
      <c r="D1131" t="s">
        <v>11</v>
      </c>
      <c r="E1131">
        <v>83.89</v>
      </c>
      <c r="F1131">
        <v>3</v>
      </c>
      <c r="G1131">
        <v>0.26</v>
      </c>
      <c r="H1131">
        <v>0.2</v>
      </c>
      <c r="I1131" t="s">
        <v>16</v>
      </c>
      <c r="J1131" t="s">
        <v>315</v>
      </c>
      <c r="K1131">
        <f t="shared" si="17"/>
        <v>251.67000000000002</v>
      </c>
    </row>
    <row r="1132" spans="1:11">
      <c r="A1132">
        <v>1131</v>
      </c>
      <c r="B1132" s="1">
        <v>45634</v>
      </c>
      <c r="C1132" t="s">
        <v>23</v>
      </c>
      <c r="D1132" t="s">
        <v>15</v>
      </c>
      <c r="E1132">
        <v>541.54</v>
      </c>
      <c r="F1132">
        <v>5</v>
      </c>
      <c r="G1132">
        <v>0.27</v>
      </c>
      <c r="H1132">
        <v>0.17</v>
      </c>
      <c r="I1132" t="s">
        <v>21</v>
      </c>
      <c r="J1132" t="s">
        <v>46</v>
      </c>
      <c r="K1132">
        <f t="shared" si="17"/>
        <v>2707.7</v>
      </c>
    </row>
    <row r="1133" spans="1:11">
      <c r="A1133">
        <v>1132</v>
      </c>
      <c r="B1133" s="1">
        <v>45452</v>
      </c>
      <c r="C1133" t="s">
        <v>23</v>
      </c>
      <c r="D1133" t="s">
        <v>15</v>
      </c>
      <c r="E1133">
        <v>1155.73</v>
      </c>
      <c r="F1133">
        <v>3</v>
      </c>
      <c r="G1133">
        <v>0.26</v>
      </c>
      <c r="H1133">
        <v>0.27</v>
      </c>
      <c r="I1133" t="s">
        <v>24</v>
      </c>
      <c r="J1133" t="s">
        <v>190</v>
      </c>
      <c r="K1133">
        <f t="shared" si="17"/>
        <v>3467.19</v>
      </c>
    </row>
    <row r="1134" spans="1:11">
      <c r="A1134">
        <v>1133</v>
      </c>
      <c r="B1134" s="1">
        <v>45520</v>
      </c>
      <c r="C1134" t="s">
        <v>23</v>
      </c>
      <c r="D1134" t="s">
        <v>15</v>
      </c>
      <c r="E1134">
        <v>911.17</v>
      </c>
      <c r="F1134">
        <v>1</v>
      </c>
      <c r="G1134">
        <v>0.09</v>
      </c>
      <c r="H1134">
        <v>0.28999999999999998</v>
      </c>
      <c r="I1134" t="s">
        <v>16</v>
      </c>
      <c r="J1134" t="s">
        <v>49</v>
      </c>
      <c r="K1134">
        <f t="shared" si="17"/>
        <v>911.17</v>
      </c>
    </row>
    <row r="1135" spans="1:11">
      <c r="A1135">
        <v>1134</v>
      </c>
      <c r="B1135" s="1">
        <v>45612</v>
      </c>
      <c r="C1135" t="s">
        <v>23</v>
      </c>
      <c r="D1135" t="s">
        <v>15</v>
      </c>
      <c r="E1135">
        <v>452.81</v>
      </c>
      <c r="F1135">
        <v>2</v>
      </c>
      <c r="G1135">
        <v>0.23</v>
      </c>
      <c r="H1135">
        <v>0.18</v>
      </c>
      <c r="I1135" t="s">
        <v>21</v>
      </c>
      <c r="J1135" t="s">
        <v>211</v>
      </c>
      <c r="K1135">
        <f t="shared" si="17"/>
        <v>905.62</v>
      </c>
    </row>
    <row r="1136" spans="1:11">
      <c r="A1136">
        <v>1135</v>
      </c>
      <c r="B1136" s="1">
        <v>45348</v>
      </c>
      <c r="C1136" t="s">
        <v>23</v>
      </c>
      <c r="D1136" t="s">
        <v>15</v>
      </c>
      <c r="E1136">
        <v>166.07</v>
      </c>
      <c r="F1136">
        <v>2</v>
      </c>
      <c r="G1136">
        <v>0.02</v>
      </c>
      <c r="H1136">
        <v>0.25</v>
      </c>
      <c r="I1136" t="s">
        <v>21</v>
      </c>
      <c r="J1136" t="s">
        <v>60</v>
      </c>
      <c r="K1136">
        <f t="shared" si="17"/>
        <v>332.14</v>
      </c>
    </row>
    <row r="1137" spans="1:11">
      <c r="A1137">
        <v>1136</v>
      </c>
      <c r="B1137" s="1">
        <v>45576</v>
      </c>
      <c r="C1137" t="s">
        <v>23</v>
      </c>
      <c r="D1137" t="s">
        <v>15</v>
      </c>
      <c r="E1137">
        <v>832.3</v>
      </c>
      <c r="F1137">
        <v>2</v>
      </c>
      <c r="G1137">
        <v>0.16</v>
      </c>
      <c r="H1137">
        <v>0.17</v>
      </c>
      <c r="I1137" t="s">
        <v>24</v>
      </c>
      <c r="J1137" t="s">
        <v>148</v>
      </c>
      <c r="K1137">
        <f t="shared" si="17"/>
        <v>1664.6</v>
      </c>
    </row>
    <row r="1138" spans="1:11">
      <c r="A1138">
        <v>1137</v>
      </c>
      <c r="B1138" s="1">
        <v>45399</v>
      </c>
      <c r="C1138" t="s">
        <v>23</v>
      </c>
      <c r="D1138" t="s">
        <v>15</v>
      </c>
      <c r="E1138">
        <v>349.97</v>
      </c>
      <c r="F1138">
        <v>3</v>
      </c>
      <c r="G1138">
        <v>0.03</v>
      </c>
      <c r="H1138">
        <v>0.33</v>
      </c>
      <c r="I1138" t="s">
        <v>24</v>
      </c>
      <c r="J1138" t="s">
        <v>163</v>
      </c>
      <c r="K1138">
        <f t="shared" si="17"/>
        <v>1049.9100000000001</v>
      </c>
    </row>
    <row r="1139" spans="1:11">
      <c r="A1139">
        <v>1138</v>
      </c>
      <c r="B1139" s="1">
        <v>45418</v>
      </c>
      <c r="C1139" t="s">
        <v>14</v>
      </c>
      <c r="D1139" t="s">
        <v>15</v>
      </c>
      <c r="E1139">
        <v>1446.44</v>
      </c>
      <c r="F1139">
        <v>5</v>
      </c>
      <c r="G1139">
        <v>0.26</v>
      </c>
      <c r="H1139">
        <v>0.31</v>
      </c>
      <c r="I1139" t="s">
        <v>21</v>
      </c>
      <c r="J1139" t="s">
        <v>25</v>
      </c>
      <c r="K1139">
        <f t="shared" si="17"/>
        <v>7232.2000000000007</v>
      </c>
    </row>
    <row r="1140" spans="1:11">
      <c r="A1140">
        <v>1139</v>
      </c>
      <c r="B1140" s="1">
        <v>45442</v>
      </c>
      <c r="C1140" t="s">
        <v>31</v>
      </c>
      <c r="D1140" t="s">
        <v>11</v>
      </c>
      <c r="E1140">
        <v>1032.5899999999999</v>
      </c>
      <c r="F1140">
        <v>2</v>
      </c>
      <c r="G1140">
        <v>0.26</v>
      </c>
      <c r="H1140">
        <v>0.2</v>
      </c>
      <c r="I1140" t="s">
        <v>21</v>
      </c>
      <c r="J1140" t="s">
        <v>102</v>
      </c>
      <c r="K1140">
        <f t="shared" si="17"/>
        <v>2065.1799999999998</v>
      </c>
    </row>
    <row r="1141" spans="1:11">
      <c r="A1141">
        <v>1140</v>
      </c>
      <c r="B1141" s="1">
        <v>45296</v>
      </c>
      <c r="C1141" t="s">
        <v>20</v>
      </c>
      <c r="D1141" t="s">
        <v>15</v>
      </c>
      <c r="E1141">
        <v>883.04</v>
      </c>
      <c r="F1141">
        <v>4</v>
      </c>
      <c r="G1141">
        <v>0.24</v>
      </c>
      <c r="H1141">
        <v>0.15</v>
      </c>
      <c r="I1141" t="s">
        <v>16</v>
      </c>
      <c r="J1141" t="s">
        <v>181</v>
      </c>
      <c r="K1141">
        <f t="shared" si="17"/>
        <v>3532.16</v>
      </c>
    </row>
    <row r="1142" spans="1:11">
      <c r="A1142">
        <v>1141</v>
      </c>
      <c r="B1142" s="1">
        <v>45469</v>
      </c>
      <c r="C1142" t="s">
        <v>14</v>
      </c>
      <c r="D1142" t="s">
        <v>15</v>
      </c>
      <c r="E1142">
        <v>308.13</v>
      </c>
      <c r="F1142">
        <v>4</v>
      </c>
      <c r="G1142">
        <v>0.19</v>
      </c>
      <c r="H1142">
        <v>0.14000000000000001</v>
      </c>
      <c r="I1142" t="s">
        <v>12</v>
      </c>
      <c r="J1142" t="s">
        <v>237</v>
      </c>
      <c r="K1142">
        <f t="shared" si="17"/>
        <v>1232.52</v>
      </c>
    </row>
    <row r="1143" spans="1:11">
      <c r="A1143">
        <v>1142</v>
      </c>
      <c r="B1143" s="1">
        <v>45531</v>
      </c>
      <c r="C1143" t="s">
        <v>14</v>
      </c>
      <c r="D1143" t="s">
        <v>15</v>
      </c>
      <c r="E1143">
        <v>1271.33</v>
      </c>
      <c r="F1143">
        <v>4</v>
      </c>
      <c r="G1143">
        <v>0.2</v>
      </c>
      <c r="H1143">
        <v>0.19</v>
      </c>
      <c r="I1143" t="s">
        <v>16</v>
      </c>
      <c r="J1143" t="s">
        <v>117</v>
      </c>
      <c r="K1143">
        <f t="shared" si="17"/>
        <v>5085.32</v>
      </c>
    </row>
    <row r="1144" spans="1:11">
      <c r="A1144">
        <v>1143</v>
      </c>
      <c r="B1144" s="1">
        <v>45442</v>
      </c>
      <c r="C1144" t="s">
        <v>26</v>
      </c>
      <c r="D1144" t="s">
        <v>11</v>
      </c>
      <c r="E1144">
        <v>253.41</v>
      </c>
      <c r="F1144">
        <v>1</v>
      </c>
      <c r="G1144">
        <v>0.06</v>
      </c>
      <c r="H1144">
        <v>0.31</v>
      </c>
      <c r="I1144" t="s">
        <v>16</v>
      </c>
      <c r="J1144" t="s">
        <v>194</v>
      </c>
      <c r="K1144">
        <f t="shared" si="17"/>
        <v>253.41</v>
      </c>
    </row>
    <row r="1145" spans="1:11">
      <c r="A1145">
        <v>1144</v>
      </c>
      <c r="B1145" s="1">
        <v>45442</v>
      </c>
      <c r="C1145" t="s">
        <v>31</v>
      </c>
      <c r="D1145" t="s">
        <v>11</v>
      </c>
      <c r="E1145">
        <v>506.1</v>
      </c>
      <c r="F1145">
        <v>5</v>
      </c>
      <c r="G1145">
        <v>0.04</v>
      </c>
      <c r="H1145">
        <v>0.4</v>
      </c>
      <c r="I1145" t="s">
        <v>24</v>
      </c>
      <c r="J1145" t="s">
        <v>136</v>
      </c>
      <c r="K1145">
        <f t="shared" si="17"/>
        <v>2530.5</v>
      </c>
    </row>
    <row r="1146" spans="1:11">
      <c r="A1146">
        <v>1145</v>
      </c>
      <c r="B1146" s="1">
        <v>45450</v>
      </c>
      <c r="C1146" t="s">
        <v>23</v>
      </c>
      <c r="D1146" t="s">
        <v>15</v>
      </c>
      <c r="E1146">
        <v>1429.34</v>
      </c>
      <c r="F1146">
        <v>5</v>
      </c>
      <c r="G1146">
        <v>0.3</v>
      </c>
      <c r="H1146">
        <v>0.35</v>
      </c>
      <c r="I1146" t="s">
        <v>21</v>
      </c>
      <c r="J1146" t="s">
        <v>280</v>
      </c>
      <c r="K1146">
        <f t="shared" si="17"/>
        <v>7146.7</v>
      </c>
    </row>
    <row r="1147" spans="1:11">
      <c r="A1147">
        <v>1146</v>
      </c>
      <c r="B1147" s="1">
        <v>45547</v>
      </c>
      <c r="C1147" t="s">
        <v>10</v>
      </c>
      <c r="D1147" t="s">
        <v>11</v>
      </c>
      <c r="E1147">
        <v>55.99</v>
      </c>
      <c r="F1147">
        <v>1</v>
      </c>
      <c r="G1147">
        <v>0</v>
      </c>
      <c r="H1147">
        <v>0.21</v>
      </c>
      <c r="I1147" t="s">
        <v>21</v>
      </c>
      <c r="J1147" t="s">
        <v>265</v>
      </c>
      <c r="K1147">
        <f t="shared" si="17"/>
        <v>55.99</v>
      </c>
    </row>
    <row r="1148" spans="1:11">
      <c r="A1148">
        <v>1147</v>
      </c>
      <c r="B1148" s="1">
        <v>45535</v>
      </c>
      <c r="C1148" t="s">
        <v>23</v>
      </c>
      <c r="D1148" t="s">
        <v>15</v>
      </c>
      <c r="E1148">
        <v>1330.73</v>
      </c>
      <c r="F1148">
        <v>4</v>
      </c>
      <c r="G1148">
        <v>0.15</v>
      </c>
      <c r="H1148">
        <v>0.22</v>
      </c>
      <c r="I1148" t="s">
        <v>16</v>
      </c>
      <c r="J1148" t="s">
        <v>261</v>
      </c>
      <c r="K1148">
        <f t="shared" si="17"/>
        <v>5322.92</v>
      </c>
    </row>
    <row r="1149" spans="1:11">
      <c r="A1149">
        <v>1148</v>
      </c>
      <c r="B1149" s="1">
        <v>45624</v>
      </c>
      <c r="C1149" t="s">
        <v>10</v>
      </c>
      <c r="D1149" t="s">
        <v>11</v>
      </c>
      <c r="E1149">
        <v>597.26</v>
      </c>
      <c r="F1149">
        <v>3</v>
      </c>
      <c r="G1149">
        <v>0.04</v>
      </c>
      <c r="H1149">
        <v>0.38</v>
      </c>
      <c r="I1149" t="s">
        <v>12</v>
      </c>
      <c r="J1149" t="s">
        <v>187</v>
      </c>
      <c r="K1149">
        <f t="shared" si="17"/>
        <v>1791.78</v>
      </c>
    </row>
    <row r="1150" spans="1:11">
      <c r="A1150">
        <v>1149</v>
      </c>
      <c r="B1150" s="1">
        <v>45333</v>
      </c>
      <c r="C1150" t="s">
        <v>10</v>
      </c>
      <c r="D1150" t="s">
        <v>11</v>
      </c>
      <c r="E1150">
        <v>681.78</v>
      </c>
      <c r="F1150">
        <v>5</v>
      </c>
      <c r="G1150">
        <v>0.2</v>
      </c>
      <c r="H1150">
        <v>0.21</v>
      </c>
      <c r="I1150" t="s">
        <v>21</v>
      </c>
      <c r="J1150" t="s">
        <v>291</v>
      </c>
      <c r="K1150">
        <f t="shared" si="17"/>
        <v>3408.8999999999996</v>
      </c>
    </row>
    <row r="1151" spans="1:11">
      <c r="A1151">
        <v>1150</v>
      </c>
      <c r="B1151" s="1">
        <v>45491</v>
      </c>
      <c r="C1151" t="s">
        <v>14</v>
      </c>
      <c r="D1151" t="s">
        <v>15</v>
      </c>
      <c r="E1151">
        <v>657.25</v>
      </c>
      <c r="F1151">
        <v>5</v>
      </c>
      <c r="G1151">
        <v>0.1</v>
      </c>
      <c r="H1151">
        <v>0.31</v>
      </c>
      <c r="I1151" t="s">
        <v>12</v>
      </c>
      <c r="J1151" t="s">
        <v>173</v>
      </c>
      <c r="K1151">
        <f t="shared" si="17"/>
        <v>3286.25</v>
      </c>
    </row>
    <row r="1152" spans="1:11">
      <c r="A1152">
        <v>1151</v>
      </c>
      <c r="B1152" s="1">
        <v>45457</v>
      </c>
      <c r="C1152" t="s">
        <v>20</v>
      </c>
      <c r="D1152" t="s">
        <v>15</v>
      </c>
      <c r="E1152">
        <v>1387.41</v>
      </c>
      <c r="F1152">
        <v>3</v>
      </c>
      <c r="G1152">
        <v>0.06</v>
      </c>
      <c r="H1152">
        <v>0.34</v>
      </c>
      <c r="I1152" t="s">
        <v>16</v>
      </c>
      <c r="J1152" t="s">
        <v>178</v>
      </c>
      <c r="K1152">
        <f t="shared" si="17"/>
        <v>4162.2300000000005</v>
      </c>
    </row>
    <row r="1153" spans="1:11">
      <c r="A1153">
        <v>1152</v>
      </c>
      <c r="B1153" s="1">
        <v>45295</v>
      </c>
      <c r="C1153" t="s">
        <v>14</v>
      </c>
      <c r="D1153" t="s">
        <v>15</v>
      </c>
      <c r="E1153">
        <v>482.7</v>
      </c>
      <c r="F1153">
        <v>5</v>
      </c>
      <c r="G1153">
        <v>0.12</v>
      </c>
      <c r="H1153">
        <v>0.18</v>
      </c>
      <c r="I1153" t="s">
        <v>21</v>
      </c>
      <c r="J1153" t="s">
        <v>218</v>
      </c>
      <c r="K1153">
        <f t="shared" si="17"/>
        <v>2413.5</v>
      </c>
    </row>
    <row r="1154" spans="1:11">
      <c r="A1154">
        <v>1153</v>
      </c>
      <c r="B1154" s="1">
        <v>45392</v>
      </c>
      <c r="C1154" t="s">
        <v>10</v>
      </c>
      <c r="D1154" t="s">
        <v>11</v>
      </c>
      <c r="E1154">
        <v>1379.82</v>
      </c>
      <c r="F1154">
        <v>4</v>
      </c>
      <c r="G1154">
        <v>0.28999999999999998</v>
      </c>
      <c r="H1154">
        <v>0.21</v>
      </c>
      <c r="I1154" t="s">
        <v>24</v>
      </c>
      <c r="J1154" t="s">
        <v>276</v>
      </c>
      <c r="K1154">
        <f t="shared" si="17"/>
        <v>5519.28</v>
      </c>
    </row>
    <row r="1155" spans="1:11">
      <c r="A1155">
        <v>1154</v>
      </c>
      <c r="B1155" s="1">
        <v>45354</v>
      </c>
      <c r="C1155" t="s">
        <v>14</v>
      </c>
      <c r="D1155" t="s">
        <v>15</v>
      </c>
      <c r="E1155">
        <v>665.93</v>
      </c>
      <c r="F1155">
        <v>5</v>
      </c>
      <c r="G1155">
        <v>0.26</v>
      </c>
      <c r="H1155">
        <v>0.32</v>
      </c>
      <c r="I1155" t="s">
        <v>16</v>
      </c>
      <c r="J1155" t="s">
        <v>250</v>
      </c>
      <c r="K1155">
        <f t="shared" si="17"/>
        <v>3329.6499999999996</v>
      </c>
    </row>
    <row r="1156" spans="1:11">
      <c r="A1156">
        <v>1155</v>
      </c>
      <c r="B1156" s="1">
        <v>45546</v>
      </c>
      <c r="C1156" t="s">
        <v>31</v>
      </c>
      <c r="D1156" t="s">
        <v>11</v>
      </c>
      <c r="E1156">
        <v>989.04</v>
      </c>
      <c r="F1156">
        <v>2</v>
      </c>
      <c r="G1156">
        <v>0.23</v>
      </c>
      <c r="H1156">
        <v>0.22</v>
      </c>
      <c r="I1156" t="s">
        <v>24</v>
      </c>
      <c r="J1156" t="s">
        <v>217</v>
      </c>
      <c r="K1156">
        <f t="shared" ref="K1156:K1219" si="18">E1156*F1156</f>
        <v>1978.08</v>
      </c>
    </row>
    <row r="1157" spans="1:11">
      <c r="A1157">
        <v>1156</v>
      </c>
      <c r="B1157" s="1">
        <v>45360</v>
      </c>
      <c r="C1157" t="s">
        <v>26</v>
      </c>
      <c r="D1157" t="s">
        <v>11</v>
      </c>
      <c r="E1157">
        <v>680.75</v>
      </c>
      <c r="F1157">
        <v>4</v>
      </c>
      <c r="G1157">
        <v>7.0000000000000007E-2</v>
      </c>
      <c r="H1157">
        <v>0.12</v>
      </c>
      <c r="I1157" t="s">
        <v>12</v>
      </c>
      <c r="J1157" t="s">
        <v>266</v>
      </c>
      <c r="K1157">
        <f t="shared" si="18"/>
        <v>2723</v>
      </c>
    </row>
    <row r="1158" spans="1:11">
      <c r="A1158">
        <v>1157</v>
      </c>
      <c r="B1158" s="1">
        <v>45542</v>
      </c>
      <c r="C1158" t="s">
        <v>20</v>
      </c>
      <c r="D1158" t="s">
        <v>15</v>
      </c>
      <c r="E1158">
        <v>451.63</v>
      </c>
      <c r="F1158">
        <v>1</v>
      </c>
      <c r="G1158">
        <v>0.05</v>
      </c>
      <c r="H1158">
        <v>0.21</v>
      </c>
      <c r="I1158" t="s">
        <v>12</v>
      </c>
      <c r="J1158" t="s">
        <v>152</v>
      </c>
      <c r="K1158">
        <f t="shared" si="18"/>
        <v>451.63</v>
      </c>
    </row>
    <row r="1159" spans="1:11">
      <c r="A1159">
        <v>1158</v>
      </c>
      <c r="B1159" s="1">
        <v>45381</v>
      </c>
      <c r="C1159" t="s">
        <v>31</v>
      </c>
      <c r="D1159" t="s">
        <v>11</v>
      </c>
      <c r="E1159">
        <v>109.65</v>
      </c>
      <c r="F1159">
        <v>3</v>
      </c>
      <c r="G1159">
        <v>0.17</v>
      </c>
      <c r="H1159">
        <v>0.3</v>
      </c>
      <c r="I1159" t="s">
        <v>21</v>
      </c>
      <c r="J1159" t="s">
        <v>58</v>
      </c>
      <c r="K1159">
        <f t="shared" si="18"/>
        <v>328.95000000000005</v>
      </c>
    </row>
    <row r="1160" spans="1:11">
      <c r="A1160">
        <v>1159</v>
      </c>
      <c r="B1160" s="1">
        <v>45490</v>
      </c>
      <c r="C1160" t="s">
        <v>31</v>
      </c>
      <c r="D1160" t="s">
        <v>11</v>
      </c>
      <c r="E1160">
        <v>906.77</v>
      </c>
      <c r="F1160">
        <v>4</v>
      </c>
      <c r="G1160">
        <v>0.21</v>
      </c>
      <c r="H1160">
        <v>0.22</v>
      </c>
      <c r="I1160" t="s">
        <v>16</v>
      </c>
      <c r="J1160" t="s">
        <v>61</v>
      </c>
      <c r="K1160">
        <f t="shared" si="18"/>
        <v>3627.08</v>
      </c>
    </row>
    <row r="1161" spans="1:11">
      <c r="A1161">
        <v>1160</v>
      </c>
      <c r="B1161" s="1">
        <v>45530</v>
      </c>
      <c r="C1161" t="s">
        <v>20</v>
      </c>
      <c r="D1161" t="s">
        <v>15</v>
      </c>
      <c r="E1161">
        <v>403.21</v>
      </c>
      <c r="F1161">
        <v>1</v>
      </c>
      <c r="G1161">
        <v>0.21</v>
      </c>
      <c r="H1161">
        <v>0.3</v>
      </c>
      <c r="I1161" t="s">
        <v>12</v>
      </c>
      <c r="J1161" t="s">
        <v>220</v>
      </c>
      <c r="K1161">
        <f t="shared" si="18"/>
        <v>403.21</v>
      </c>
    </row>
    <row r="1162" spans="1:11">
      <c r="A1162">
        <v>1161</v>
      </c>
      <c r="B1162" s="1">
        <v>45468</v>
      </c>
      <c r="C1162" t="s">
        <v>26</v>
      </c>
      <c r="D1162" t="s">
        <v>11</v>
      </c>
      <c r="E1162">
        <v>568.16999999999996</v>
      </c>
      <c r="F1162">
        <v>3</v>
      </c>
      <c r="G1162">
        <v>0.15</v>
      </c>
      <c r="H1162">
        <v>0.36</v>
      </c>
      <c r="I1162" t="s">
        <v>12</v>
      </c>
      <c r="J1162" t="s">
        <v>93</v>
      </c>
      <c r="K1162">
        <f t="shared" si="18"/>
        <v>1704.5099999999998</v>
      </c>
    </row>
    <row r="1163" spans="1:11">
      <c r="A1163">
        <v>1162</v>
      </c>
      <c r="B1163" s="1">
        <v>45486</v>
      </c>
      <c r="C1163" t="s">
        <v>31</v>
      </c>
      <c r="D1163" t="s">
        <v>11</v>
      </c>
      <c r="E1163">
        <v>1082.96</v>
      </c>
      <c r="F1163">
        <v>1</v>
      </c>
      <c r="G1163">
        <v>0.24</v>
      </c>
      <c r="H1163">
        <v>0.36</v>
      </c>
      <c r="I1163" t="s">
        <v>21</v>
      </c>
      <c r="J1163" t="s">
        <v>238</v>
      </c>
      <c r="K1163">
        <f t="shared" si="18"/>
        <v>1082.96</v>
      </c>
    </row>
    <row r="1164" spans="1:11">
      <c r="A1164">
        <v>1163</v>
      </c>
      <c r="B1164" s="1">
        <v>45596</v>
      </c>
      <c r="C1164" t="s">
        <v>14</v>
      </c>
      <c r="D1164" t="s">
        <v>15</v>
      </c>
      <c r="E1164">
        <v>1053.32</v>
      </c>
      <c r="F1164">
        <v>2</v>
      </c>
      <c r="G1164">
        <v>0.26</v>
      </c>
      <c r="H1164">
        <v>0.24</v>
      </c>
      <c r="I1164" t="s">
        <v>16</v>
      </c>
      <c r="J1164" t="s">
        <v>312</v>
      </c>
      <c r="K1164">
        <f t="shared" si="18"/>
        <v>2106.64</v>
      </c>
    </row>
    <row r="1165" spans="1:11">
      <c r="A1165">
        <v>1164</v>
      </c>
      <c r="B1165" s="1">
        <v>45477</v>
      </c>
      <c r="C1165" t="s">
        <v>20</v>
      </c>
      <c r="D1165" t="s">
        <v>15</v>
      </c>
      <c r="E1165">
        <v>188.95</v>
      </c>
      <c r="F1165">
        <v>5</v>
      </c>
      <c r="G1165">
        <v>0.13</v>
      </c>
      <c r="H1165">
        <v>0.36</v>
      </c>
      <c r="I1165" t="s">
        <v>12</v>
      </c>
      <c r="J1165" t="s">
        <v>275</v>
      </c>
      <c r="K1165">
        <f t="shared" si="18"/>
        <v>944.75</v>
      </c>
    </row>
    <row r="1166" spans="1:11">
      <c r="A1166">
        <v>1165</v>
      </c>
      <c r="B1166" s="1">
        <v>45307</v>
      </c>
      <c r="C1166" t="s">
        <v>23</v>
      </c>
      <c r="D1166" t="s">
        <v>15</v>
      </c>
      <c r="E1166">
        <v>1244.04</v>
      </c>
      <c r="F1166">
        <v>5</v>
      </c>
      <c r="G1166">
        <v>0.02</v>
      </c>
      <c r="H1166">
        <v>0.35</v>
      </c>
      <c r="I1166" t="s">
        <v>24</v>
      </c>
      <c r="J1166" t="s">
        <v>193</v>
      </c>
      <c r="K1166">
        <f t="shared" si="18"/>
        <v>6220.2</v>
      </c>
    </row>
    <row r="1167" spans="1:11">
      <c r="A1167">
        <v>1166</v>
      </c>
      <c r="B1167" s="1">
        <v>45336</v>
      </c>
      <c r="C1167" t="s">
        <v>23</v>
      </c>
      <c r="D1167" t="s">
        <v>15</v>
      </c>
      <c r="E1167">
        <v>781.11</v>
      </c>
      <c r="F1167">
        <v>1</v>
      </c>
      <c r="G1167">
        <v>0.14000000000000001</v>
      </c>
      <c r="H1167">
        <v>0.36</v>
      </c>
      <c r="I1167" t="s">
        <v>16</v>
      </c>
      <c r="J1167" t="s">
        <v>169</v>
      </c>
      <c r="K1167">
        <f t="shared" si="18"/>
        <v>781.11</v>
      </c>
    </row>
    <row r="1168" spans="1:11">
      <c r="A1168">
        <v>1167</v>
      </c>
      <c r="B1168" s="1">
        <v>45656</v>
      </c>
      <c r="C1168" t="s">
        <v>20</v>
      </c>
      <c r="D1168" t="s">
        <v>15</v>
      </c>
      <c r="E1168">
        <v>309.2</v>
      </c>
      <c r="F1168">
        <v>4</v>
      </c>
      <c r="G1168">
        <v>0.09</v>
      </c>
      <c r="H1168">
        <v>0.33</v>
      </c>
      <c r="I1168" t="s">
        <v>24</v>
      </c>
      <c r="J1168" t="s">
        <v>142</v>
      </c>
      <c r="K1168">
        <f t="shared" si="18"/>
        <v>1236.8</v>
      </c>
    </row>
    <row r="1169" spans="1:11">
      <c r="A1169">
        <v>1168</v>
      </c>
      <c r="B1169" s="1">
        <v>45325</v>
      </c>
      <c r="C1169" t="s">
        <v>31</v>
      </c>
      <c r="D1169" t="s">
        <v>11</v>
      </c>
      <c r="E1169">
        <v>322.07</v>
      </c>
      <c r="F1169">
        <v>1</v>
      </c>
      <c r="G1169">
        <v>0.05</v>
      </c>
      <c r="H1169">
        <v>0.2</v>
      </c>
      <c r="I1169" t="s">
        <v>16</v>
      </c>
      <c r="J1169" t="s">
        <v>203</v>
      </c>
      <c r="K1169">
        <f t="shared" si="18"/>
        <v>322.07</v>
      </c>
    </row>
    <row r="1170" spans="1:11">
      <c r="A1170">
        <v>1169</v>
      </c>
      <c r="B1170" s="1">
        <v>45522</v>
      </c>
      <c r="C1170" t="s">
        <v>20</v>
      </c>
      <c r="D1170" t="s">
        <v>15</v>
      </c>
      <c r="E1170">
        <v>1235.3</v>
      </c>
      <c r="F1170">
        <v>2</v>
      </c>
      <c r="G1170">
        <v>0.14000000000000001</v>
      </c>
      <c r="H1170">
        <v>0.2</v>
      </c>
      <c r="I1170" t="s">
        <v>21</v>
      </c>
      <c r="J1170" t="s">
        <v>203</v>
      </c>
      <c r="K1170">
        <f t="shared" si="18"/>
        <v>2470.6</v>
      </c>
    </row>
    <row r="1171" spans="1:11">
      <c r="A1171">
        <v>1170</v>
      </c>
      <c r="B1171" s="1">
        <v>45419</v>
      </c>
      <c r="C1171" t="s">
        <v>31</v>
      </c>
      <c r="D1171" t="s">
        <v>11</v>
      </c>
      <c r="E1171">
        <v>1339.43</v>
      </c>
      <c r="F1171">
        <v>2</v>
      </c>
      <c r="G1171">
        <v>0.08</v>
      </c>
      <c r="H1171">
        <v>0.21</v>
      </c>
      <c r="I1171" t="s">
        <v>12</v>
      </c>
      <c r="J1171" t="s">
        <v>97</v>
      </c>
      <c r="K1171">
        <f t="shared" si="18"/>
        <v>2678.86</v>
      </c>
    </row>
    <row r="1172" spans="1:11">
      <c r="A1172">
        <v>1171</v>
      </c>
      <c r="B1172" s="1">
        <v>45376</v>
      </c>
      <c r="C1172" t="s">
        <v>26</v>
      </c>
      <c r="D1172" t="s">
        <v>11</v>
      </c>
      <c r="E1172">
        <v>99.01</v>
      </c>
      <c r="F1172">
        <v>1</v>
      </c>
      <c r="G1172">
        <v>0.22</v>
      </c>
      <c r="H1172">
        <v>0.18</v>
      </c>
      <c r="I1172" t="s">
        <v>12</v>
      </c>
      <c r="J1172" t="s">
        <v>255</v>
      </c>
      <c r="K1172">
        <f t="shared" si="18"/>
        <v>99.01</v>
      </c>
    </row>
    <row r="1173" spans="1:11">
      <c r="A1173">
        <v>1172</v>
      </c>
      <c r="B1173" s="1">
        <v>45476</v>
      </c>
      <c r="C1173" t="s">
        <v>10</v>
      </c>
      <c r="D1173" t="s">
        <v>11</v>
      </c>
      <c r="E1173">
        <v>1154.6600000000001</v>
      </c>
      <c r="F1173">
        <v>1</v>
      </c>
      <c r="G1173">
        <v>0.01</v>
      </c>
      <c r="H1173">
        <v>0.33</v>
      </c>
      <c r="I1173" t="s">
        <v>21</v>
      </c>
      <c r="J1173" t="s">
        <v>108</v>
      </c>
      <c r="K1173">
        <f t="shared" si="18"/>
        <v>1154.6600000000001</v>
      </c>
    </row>
    <row r="1174" spans="1:11">
      <c r="A1174">
        <v>1173</v>
      </c>
      <c r="B1174" s="1">
        <v>45354</v>
      </c>
      <c r="C1174" t="s">
        <v>31</v>
      </c>
      <c r="D1174" t="s">
        <v>11</v>
      </c>
      <c r="E1174">
        <v>303.47000000000003</v>
      </c>
      <c r="F1174">
        <v>4</v>
      </c>
      <c r="G1174">
        <v>0.18</v>
      </c>
      <c r="H1174">
        <v>0.23</v>
      </c>
      <c r="I1174" t="s">
        <v>24</v>
      </c>
      <c r="J1174" t="s">
        <v>55</v>
      </c>
      <c r="K1174">
        <f t="shared" si="18"/>
        <v>1213.8800000000001</v>
      </c>
    </row>
    <row r="1175" spans="1:11">
      <c r="A1175">
        <v>1174</v>
      </c>
      <c r="B1175" s="1">
        <v>45388</v>
      </c>
      <c r="C1175" t="s">
        <v>14</v>
      </c>
      <c r="D1175" t="s">
        <v>15</v>
      </c>
      <c r="E1175">
        <v>453.13</v>
      </c>
      <c r="F1175">
        <v>2</v>
      </c>
      <c r="G1175">
        <v>0</v>
      </c>
      <c r="H1175">
        <v>0.33</v>
      </c>
      <c r="I1175" t="s">
        <v>16</v>
      </c>
      <c r="J1175" t="s">
        <v>290</v>
      </c>
      <c r="K1175">
        <f t="shared" si="18"/>
        <v>906.26</v>
      </c>
    </row>
    <row r="1176" spans="1:11">
      <c r="A1176">
        <v>1175</v>
      </c>
      <c r="B1176" s="1">
        <v>45557</v>
      </c>
      <c r="C1176" t="s">
        <v>26</v>
      </c>
      <c r="D1176" t="s">
        <v>11</v>
      </c>
      <c r="E1176">
        <v>863.44</v>
      </c>
      <c r="F1176">
        <v>3</v>
      </c>
      <c r="G1176">
        <v>0.16</v>
      </c>
      <c r="H1176">
        <v>0.24</v>
      </c>
      <c r="I1176" t="s">
        <v>24</v>
      </c>
      <c r="J1176" t="s">
        <v>182</v>
      </c>
      <c r="K1176">
        <f t="shared" si="18"/>
        <v>2590.3200000000002</v>
      </c>
    </row>
    <row r="1177" spans="1:11">
      <c r="A1177">
        <v>1176</v>
      </c>
      <c r="B1177" s="1">
        <v>45312</v>
      </c>
      <c r="C1177" t="s">
        <v>20</v>
      </c>
      <c r="D1177" t="s">
        <v>15</v>
      </c>
      <c r="E1177">
        <v>776.74</v>
      </c>
      <c r="F1177">
        <v>1</v>
      </c>
      <c r="G1177">
        <v>0.27</v>
      </c>
      <c r="H1177">
        <v>0.2</v>
      </c>
      <c r="I1177" t="s">
        <v>21</v>
      </c>
      <c r="J1177" t="s">
        <v>317</v>
      </c>
      <c r="K1177">
        <f t="shared" si="18"/>
        <v>776.74</v>
      </c>
    </row>
    <row r="1178" spans="1:11">
      <c r="A1178">
        <v>1177</v>
      </c>
      <c r="B1178" s="1">
        <v>45447</v>
      </c>
      <c r="C1178" t="s">
        <v>10</v>
      </c>
      <c r="D1178" t="s">
        <v>11</v>
      </c>
      <c r="E1178">
        <v>1419.42</v>
      </c>
      <c r="F1178">
        <v>4</v>
      </c>
      <c r="G1178">
        <v>0.14000000000000001</v>
      </c>
      <c r="H1178">
        <v>0.18</v>
      </c>
      <c r="I1178" t="s">
        <v>21</v>
      </c>
      <c r="J1178" t="s">
        <v>94</v>
      </c>
      <c r="K1178">
        <f t="shared" si="18"/>
        <v>5677.68</v>
      </c>
    </row>
    <row r="1179" spans="1:11">
      <c r="A1179">
        <v>1178</v>
      </c>
      <c r="B1179" s="1">
        <v>45384</v>
      </c>
      <c r="C1179" t="s">
        <v>31</v>
      </c>
      <c r="D1179" t="s">
        <v>11</v>
      </c>
      <c r="E1179">
        <v>412.51</v>
      </c>
      <c r="F1179">
        <v>5</v>
      </c>
      <c r="G1179">
        <v>0.17</v>
      </c>
      <c r="H1179">
        <v>0.18</v>
      </c>
      <c r="I1179" t="s">
        <v>16</v>
      </c>
      <c r="J1179" t="s">
        <v>222</v>
      </c>
      <c r="K1179">
        <f t="shared" si="18"/>
        <v>2062.5500000000002</v>
      </c>
    </row>
    <row r="1180" spans="1:11">
      <c r="A1180">
        <v>1179</v>
      </c>
      <c r="B1180" s="1">
        <v>45568</v>
      </c>
      <c r="C1180" t="s">
        <v>31</v>
      </c>
      <c r="D1180" t="s">
        <v>11</v>
      </c>
      <c r="E1180">
        <v>1239.8800000000001</v>
      </c>
      <c r="F1180">
        <v>1</v>
      </c>
      <c r="G1180">
        <v>0.3</v>
      </c>
      <c r="H1180">
        <v>0.12</v>
      </c>
      <c r="I1180" t="s">
        <v>24</v>
      </c>
      <c r="J1180" t="s">
        <v>159</v>
      </c>
      <c r="K1180">
        <f t="shared" si="18"/>
        <v>1239.8800000000001</v>
      </c>
    </row>
    <row r="1181" spans="1:11">
      <c r="A1181">
        <v>1180</v>
      </c>
      <c r="B1181" s="1">
        <v>45346</v>
      </c>
      <c r="C1181" t="s">
        <v>31</v>
      </c>
      <c r="D1181" t="s">
        <v>11</v>
      </c>
      <c r="E1181">
        <v>603.59</v>
      </c>
      <c r="F1181">
        <v>3</v>
      </c>
      <c r="G1181">
        <v>0.22</v>
      </c>
      <c r="H1181">
        <v>0.21</v>
      </c>
      <c r="I1181" t="s">
        <v>24</v>
      </c>
      <c r="J1181" t="s">
        <v>138</v>
      </c>
      <c r="K1181">
        <f t="shared" si="18"/>
        <v>1810.77</v>
      </c>
    </row>
    <row r="1182" spans="1:11">
      <c r="A1182">
        <v>1181</v>
      </c>
      <c r="B1182" s="1">
        <v>45489</v>
      </c>
      <c r="C1182" t="s">
        <v>20</v>
      </c>
      <c r="D1182" t="s">
        <v>15</v>
      </c>
      <c r="E1182">
        <v>134.63999999999999</v>
      </c>
      <c r="F1182">
        <v>4</v>
      </c>
      <c r="G1182">
        <v>0.03</v>
      </c>
      <c r="H1182">
        <v>0.19</v>
      </c>
      <c r="I1182" t="s">
        <v>16</v>
      </c>
      <c r="J1182" t="s">
        <v>256</v>
      </c>
      <c r="K1182">
        <f t="shared" si="18"/>
        <v>538.55999999999995</v>
      </c>
    </row>
    <row r="1183" spans="1:11">
      <c r="A1183">
        <v>1182</v>
      </c>
      <c r="B1183" s="1">
        <v>45613</v>
      </c>
      <c r="C1183" t="s">
        <v>26</v>
      </c>
      <c r="D1183" t="s">
        <v>11</v>
      </c>
      <c r="E1183">
        <v>518.95000000000005</v>
      </c>
      <c r="F1183">
        <v>5</v>
      </c>
      <c r="G1183">
        <v>0.1</v>
      </c>
      <c r="H1183">
        <v>0.34</v>
      </c>
      <c r="I1183" t="s">
        <v>12</v>
      </c>
      <c r="J1183" t="s">
        <v>65</v>
      </c>
      <c r="K1183">
        <f t="shared" si="18"/>
        <v>2594.75</v>
      </c>
    </row>
    <row r="1184" spans="1:11">
      <c r="A1184">
        <v>1183</v>
      </c>
      <c r="B1184" s="1">
        <v>45308</v>
      </c>
      <c r="C1184" t="s">
        <v>23</v>
      </c>
      <c r="D1184" t="s">
        <v>15</v>
      </c>
      <c r="E1184">
        <v>1408.02</v>
      </c>
      <c r="F1184">
        <v>2</v>
      </c>
      <c r="G1184">
        <v>0.28999999999999998</v>
      </c>
      <c r="H1184">
        <v>0.26</v>
      </c>
      <c r="I1184" t="s">
        <v>21</v>
      </c>
      <c r="J1184" t="s">
        <v>221</v>
      </c>
      <c r="K1184">
        <f t="shared" si="18"/>
        <v>2816.04</v>
      </c>
    </row>
    <row r="1185" spans="1:11">
      <c r="A1185">
        <v>1184</v>
      </c>
      <c r="B1185" s="1">
        <v>45308</v>
      </c>
      <c r="C1185" t="s">
        <v>31</v>
      </c>
      <c r="D1185" t="s">
        <v>11</v>
      </c>
      <c r="E1185">
        <v>60.46</v>
      </c>
      <c r="F1185">
        <v>2</v>
      </c>
      <c r="G1185">
        <v>0.13</v>
      </c>
      <c r="H1185">
        <v>0.31</v>
      </c>
      <c r="I1185" t="s">
        <v>12</v>
      </c>
      <c r="J1185" t="s">
        <v>266</v>
      </c>
      <c r="K1185">
        <f t="shared" si="18"/>
        <v>120.92</v>
      </c>
    </row>
    <row r="1186" spans="1:11">
      <c r="A1186">
        <v>1185</v>
      </c>
      <c r="B1186" s="1">
        <v>45372</v>
      </c>
      <c r="C1186" t="s">
        <v>26</v>
      </c>
      <c r="D1186" t="s">
        <v>11</v>
      </c>
      <c r="E1186">
        <v>339.38</v>
      </c>
      <c r="F1186">
        <v>2</v>
      </c>
      <c r="G1186">
        <v>0.09</v>
      </c>
      <c r="H1186">
        <v>0.26</v>
      </c>
      <c r="I1186" t="s">
        <v>24</v>
      </c>
      <c r="J1186" t="s">
        <v>272</v>
      </c>
      <c r="K1186">
        <f t="shared" si="18"/>
        <v>678.76</v>
      </c>
    </row>
    <row r="1187" spans="1:11">
      <c r="A1187">
        <v>1186</v>
      </c>
      <c r="B1187" s="1">
        <v>45449</v>
      </c>
      <c r="C1187" t="s">
        <v>14</v>
      </c>
      <c r="D1187" t="s">
        <v>15</v>
      </c>
      <c r="E1187">
        <v>1326.86</v>
      </c>
      <c r="F1187">
        <v>5</v>
      </c>
      <c r="G1187">
        <v>0.02</v>
      </c>
      <c r="H1187">
        <v>0.14000000000000001</v>
      </c>
      <c r="I1187" t="s">
        <v>16</v>
      </c>
      <c r="J1187" t="s">
        <v>79</v>
      </c>
      <c r="K1187">
        <f t="shared" si="18"/>
        <v>6634.2999999999993</v>
      </c>
    </row>
    <row r="1188" spans="1:11">
      <c r="A1188">
        <v>1187</v>
      </c>
      <c r="B1188" s="1">
        <v>45305</v>
      </c>
      <c r="C1188" t="s">
        <v>10</v>
      </c>
      <c r="D1188" t="s">
        <v>11</v>
      </c>
      <c r="E1188">
        <v>760.04</v>
      </c>
      <c r="F1188">
        <v>5</v>
      </c>
      <c r="G1188">
        <v>7.0000000000000007E-2</v>
      </c>
      <c r="H1188">
        <v>0.26</v>
      </c>
      <c r="I1188" t="s">
        <v>24</v>
      </c>
      <c r="J1188" t="s">
        <v>254</v>
      </c>
      <c r="K1188">
        <f t="shared" si="18"/>
        <v>3800.2</v>
      </c>
    </row>
    <row r="1189" spans="1:11">
      <c r="A1189">
        <v>1188</v>
      </c>
      <c r="B1189" s="1">
        <v>45308</v>
      </c>
      <c r="C1189" t="s">
        <v>26</v>
      </c>
      <c r="D1189" t="s">
        <v>11</v>
      </c>
      <c r="E1189">
        <v>460.75</v>
      </c>
      <c r="F1189">
        <v>2</v>
      </c>
      <c r="G1189">
        <v>0.3</v>
      </c>
      <c r="H1189">
        <v>0.28000000000000003</v>
      </c>
      <c r="I1189" t="s">
        <v>12</v>
      </c>
      <c r="J1189" t="s">
        <v>302</v>
      </c>
      <c r="K1189">
        <f t="shared" si="18"/>
        <v>921.5</v>
      </c>
    </row>
    <row r="1190" spans="1:11">
      <c r="A1190">
        <v>1189</v>
      </c>
      <c r="B1190" s="1">
        <v>45626</v>
      </c>
      <c r="C1190" t="s">
        <v>14</v>
      </c>
      <c r="D1190" t="s">
        <v>15</v>
      </c>
      <c r="E1190">
        <v>1281.47</v>
      </c>
      <c r="F1190">
        <v>3</v>
      </c>
      <c r="G1190">
        <v>0.05</v>
      </c>
      <c r="H1190">
        <v>0.22</v>
      </c>
      <c r="I1190" t="s">
        <v>16</v>
      </c>
      <c r="J1190" t="s">
        <v>269</v>
      </c>
      <c r="K1190">
        <f t="shared" si="18"/>
        <v>3844.41</v>
      </c>
    </row>
    <row r="1191" spans="1:11">
      <c r="A1191">
        <v>1190</v>
      </c>
      <c r="B1191" s="1">
        <v>45505</v>
      </c>
      <c r="C1191" t="s">
        <v>31</v>
      </c>
      <c r="D1191" t="s">
        <v>11</v>
      </c>
      <c r="E1191">
        <v>67.69</v>
      </c>
      <c r="F1191">
        <v>1</v>
      </c>
      <c r="G1191">
        <v>0.23</v>
      </c>
      <c r="H1191">
        <v>0.25</v>
      </c>
      <c r="I1191" t="s">
        <v>24</v>
      </c>
      <c r="J1191" t="s">
        <v>294</v>
      </c>
      <c r="K1191">
        <f t="shared" si="18"/>
        <v>67.69</v>
      </c>
    </row>
    <row r="1192" spans="1:11">
      <c r="A1192">
        <v>1191</v>
      </c>
      <c r="B1192" s="1">
        <v>45400</v>
      </c>
      <c r="C1192" t="s">
        <v>14</v>
      </c>
      <c r="D1192" t="s">
        <v>15</v>
      </c>
      <c r="E1192">
        <v>1200.05</v>
      </c>
      <c r="F1192">
        <v>5</v>
      </c>
      <c r="G1192">
        <v>0.24</v>
      </c>
      <c r="H1192">
        <v>0.17</v>
      </c>
      <c r="I1192" t="s">
        <v>16</v>
      </c>
      <c r="J1192" t="s">
        <v>301</v>
      </c>
      <c r="K1192">
        <f t="shared" si="18"/>
        <v>6000.25</v>
      </c>
    </row>
    <row r="1193" spans="1:11">
      <c r="A1193">
        <v>1192</v>
      </c>
      <c r="B1193" s="1">
        <v>45633</v>
      </c>
      <c r="C1193" t="s">
        <v>20</v>
      </c>
      <c r="D1193" t="s">
        <v>15</v>
      </c>
      <c r="E1193">
        <v>769.14</v>
      </c>
      <c r="F1193">
        <v>3</v>
      </c>
      <c r="G1193">
        <v>0</v>
      </c>
      <c r="H1193">
        <v>0.28999999999999998</v>
      </c>
      <c r="I1193" t="s">
        <v>12</v>
      </c>
      <c r="J1193" t="s">
        <v>251</v>
      </c>
      <c r="K1193">
        <f t="shared" si="18"/>
        <v>2307.42</v>
      </c>
    </row>
    <row r="1194" spans="1:11">
      <c r="A1194">
        <v>1193</v>
      </c>
      <c r="B1194" s="1">
        <v>45373</v>
      </c>
      <c r="C1194" t="s">
        <v>31</v>
      </c>
      <c r="D1194" t="s">
        <v>11</v>
      </c>
      <c r="E1194">
        <v>682.14</v>
      </c>
      <c r="F1194">
        <v>3</v>
      </c>
      <c r="G1194">
        <v>0.21</v>
      </c>
      <c r="H1194">
        <v>0.3</v>
      </c>
      <c r="I1194" t="s">
        <v>24</v>
      </c>
      <c r="J1194" t="s">
        <v>53</v>
      </c>
      <c r="K1194">
        <f t="shared" si="18"/>
        <v>2046.42</v>
      </c>
    </row>
    <row r="1195" spans="1:11">
      <c r="A1195">
        <v>1194</v>
      </c>
      <c r="B1195" s="1">
        <v>45329</v>
      </c>
      <c r="C1195" t="s">
        <v>31</v>
      </c>
      <c r="D1195" t="s">
        <v>11</v>
      </c>
      <c r="E1195">
        <v>1305.27</v>
      </c>
      <c r="F1195">
        <v>2</v>
      </c>
      <c r="G1195">
        <v>0.11</v>
      </c>
      <c r="H1195">
        <v>0.13</v>
      </c>
      <c r="I1195" t="s">
        <v>24</v>
      </c>
      <c r="J1195" t="s">
        <v>178</v>
      </c>
      <c r="K1195">
        <f t="shared" si="18"/>
        <v>2610.54</v>
      </c>
    </row>
    <row r="1196" spans="1:11">
      <c r="A1196">
        <v>1195</v>
      </c>
      <c r="B1196" s="1">
        <v>45546</v>
      </c>
      <c r="C1196" t="s">
        <v>31</v>
      </c>
      <c r="D1196" t="s">
        <v>11</v>
      </c>
      <c r="E1196">
        <v>412.17</v>
      </c>
      <c r="F1196">
        <v>1</v>
      </c>
      <c r="G1196">
        <v>0.26</v>
      </c>
      <c r="H1196">
        <v>0.17</v>
      </c>
      <c r="I1196" t="s">
        <v>16</v>
      </c>
      <c r="J1196" t="s">
        <v>136</v>
      </c>
      <c r="K1196">
        <f t="shared" si="18"/>
        <v>412.17</v>
      </c>
    </row>
    <row r="1197" spans="1:11">
      <c r="A1197">
        <v>1196</v>
      </c>
      <c r="B1197" s="1">
        <v>45295</v>
      </c>
      <c r="C1197" t="s">
        <v>10</v>
      </c>
      <c r="D1197" t="s">
        <v>11</v>
      </c>
      <c r="E1197">
        <v>909.41</v>
      </c>
      <c r="F1197">
        <v>2</v>
      </c>
      <c r="G1197">
        <v>7.0000000000000007E-2</v>
      </c>
      <c r="H1197">
        <v>0.2</v>
      </c>
      <c r="I1197" t="s">
        <v>21</v>
      </c>
      <c r="J1197" t="s">
        <v>215</v>
      </c>
      <c r="K1197">
        <f t="shared" si="18"/>
        <v>1818.82</v>
      </c>
    </row>
    <row r="1198" spans="1:11">
      <c r="A1198">
        <v>1197</v>
      </c>
      <c r="B1198" s="1">
        <v>45497</v>
      </c>
      <c r="C1198" t="s">
        <v>31</v>
      </c>
      <c r="D1198" t="s">
        <v>11</v>
      </c>
      <c r="E1198">
        <v>1260.24</v>
      </c>
      <c r="F1198">
        <v>1</v>
      </c>
      <c r="G1198">
        <v>0.27</v>
      </c>
      <c r="H1198">
        <v>0.15</v>
      </c>
      <c r="I1198" t="s">
        <v>24</v>
      </c>
      <c r="J1198" t="s">
        <v>199</v>
      </c>
      <c r="K1198">
        <f t="shared" si="18"/>
        <v>1260.24</v>
      </c>
    </row>
    <row r="1199" spans="1:11">
      <c r="A1199">
        <v>1198</v>
      </c>
      <c r="B1199" s="1">
        <v>45379</v>
      </c>
      <c r="C1199" t="s">
        <v>20</v>
      </c>
      <c r="D1199" t="s">
        <v>15</v>
      </c>
      <c r="E1199">
        <v>1039.46</v>
      </c>
      <c r="F1199">
        <v>4</v>
      </c>
      <c r="G1199">
        <v>7.0000000000000007E-2</v>
      </c>
      <c r="H1199">
        <v>0.13</v>
      </c>
      <c r="I1199" t="s">
        <v>12</v>
      </c>
      <c r="J1199" t="s">
        <v>215</v>
      </c>
      <c r="K1199">
        <f t="shared" si="18"/>
        <v>4157.84</v>
      </c>
    </row>
    <row r="1200" spans="1:11">
      <c r="A1200">
        <v>1199</v>
      </c>
      <c r="B1200" s="1">
        <v>45399</v>
      </c>
      <c r="C1200" t="s">
        <v>14</v>
      </c>
      <c r="D1200" t="s">
        <v>15</v>
      </c>
      <c r="E1200">
        <v>229.98</v>
      </c>
      <c r="F1200">
        <v>1</v>
      </c>
      <c r="G1200">
        <v>0.01</v>
      </c>
      <c r="H1200">
        <v>0.38</v>
      </c>
      <c r="I1200" t="s">
        <v>16</v>
      </c>
      <c r="J1200" t="s">
        <v>27</v>
      </c>
      <c r="K1200">
        <f t="shared" si="18"/>
        <v>229.98</v>
      </c>
    </row>
    <row r="1201" spans="1:11">
      <c r="A1201">
        <v>1200</v>
      </c>
      <c r="B1201" s="1">
        <v>45365</v>
      </c>
      <c r="C1201" t="s">
        <v>31</v>
      </c>
      <c r="D1201" t="s">
        <v>11</v>
      </c>
      <c r="E1201">
        <v>308.58</v>
      </c>
      <c r="F1201">
        <v>4</v>
      </c>
      <c r="G1201">
        <v>0.28999999999999998</v>
      </c>
      <c r="H1201">
        <v>0.22</v>
      </c>
      <c r="I1201" t="s">
        <v>12</v>
      </c>
      <c r="J1201" t="s">
        <v>27</v>
      </c>
      <c r="K1201">
        <f t="shared" si="18"/>
        <v>1234.32</v>
      </c>
    </row>
    <row r="1202" spans="1:11">
      <c r="A1202">
        <v>1201</v>
      </c>
      <c r="B1202" s="1">
        <v>45609</v>
      </c>
      <c r="C1202" t="s">
        <v>10</v>
      </c>
      <c r="D1202" t="s">
        <v>11</v>
      </c>
      <c r="E1202">
        <v>795.68</v>
      </c>
      <c r="F1202">
        <v>4</v>
      </c>
      <c r="G1202">
        <v>0.3</v>
      </c>
      <c r="H1202">
        <v>0.17</v>
      </c>
      <c r="I1202" t="s">
        <v>16</v>
      </c>
      <c r="J1202" t="s">
        <v>284</v>
      </c>
      <c r="K1202">
        <f t="shared" si="18"/>
        <v>3182.72</v>
      </c>
    </row>
    <row r="1203" spans="1:11">
      <c r="A1203">
        <v>1202</v>
      </c>
      <c r="B1203" s="1">
        <v>45410</v>
      </c>
      <c r="C1203" t="s">
        <v>23</v>
      </c>
      <c r="D1203" t="s">
        <v>15</v>
      </c>
      <c r="E1203">
        <v>28.99</v>
      </c>
      <c r="F1203">
        <v>3</v>
      </c>
      <c r="G1203">
        <v>0.18</v>
      </c>
      <c r="H1203">
        <v>0.13</v>
      </c>
      <c r="I1203" t="s">
        <v>21</v>
      </c>
      <c r="J1203" t="s">
        <v>313</v>
      </c>
      <c r="K1203">
        <f t="shared" si="18"/>
        <v>86.97</v>
      </c>
    </row>
    <row r="1204" spans="1:11">
      <c r="A1204">
        <v>1203</v>
      </c>
      <c r="B1204" s="1">
        <v>45335</v>
      </c>
      <c r="C1204" t="s">
        <v>31</v>
      </c>
      <c r="D1204" t="s">
        <v>11</v>
      </c>
      <c r="E1204">
        <v>36.46</v>
      </c>
      <c r="F1204">
        <v>2</v>
      </c>
      <c r="G1204">
        <v>0.18</v>
      </c>
      <c r="H1204">
        <v>0.32</v>
      </c>
      <c r="I1204" t="s">
        <v>21</v>
      </c>
      <c r="J1204" t="s">
        <v>258</v>
      </c>
      <c r="K1204">
        <f t="shared" si="18"/>
        <v>72.92</v>
      </c>
    </row>
    <row r="1205" spans="1:11">
      <c r="A1205">
        <v>1204</v>
      </c>
      <c r="B1205" s="1">
        <v>45294</v>
      </c>
      <c r="C1205" t="s">
        <v>26</v>
      </c>
      <c r="D1205" t="s">
        <v>11</v>
      </c>
      <c r="E1205">
        <v>1038.6099999999999</v>
      </c>
      <c r="F1205">
        <v>2</v>
      </c>
      <c r="G1205">
        <v>0.13</v>
      </c>
      <c r="H1205">
        <v>0.19</v>
      </c>
      <c r="I1205" t="s">
        <v>21</v>
      </c>
      <c r="J1205" t="s">
        <v>35</v>
      </c>
      <c r="K1205">
        <f t="shared" si="18"/>
        <v>2077.2199999999998</v>
      </c>
    </row>
    <row r="1206" spans="1:11">
      <c r="A1206">
        <v>1205</v>
      </c>
      <c r="B1206" s="1">
        <v>45384</v>
      </c>
      <c r="C1206" t="s">
        <v>20</v>
      </c>
      <c r="D1206" t="s">
        <v>15</v>
      </c>
      <c r="E1206">
        <v>222.32</v>
      </c>
      <c r="F1206">
        <v>2</v>
      </c>
      <c r="G1206">
        <v>0.04</v>
      </c>
      <c r="H1206">
        <v>0.12</v>
      </c>
      <c r="I1206" t="s">
        <v>24</v>
      </c>
      <c r="J1206" t="s">
        <v>39</v>
      </c>
      <c r="K1206">
        <f t="shared" si="18"/>
        <v>444.64</v>
      </c>
    </row>
    <row r="1207" spans="1:11">
      <c r="A1207">
        <v>1206</v>
      </c>
      <c r="B1207" s="1">
        <v>45522</v>
      </c>
      <c r="C1207" t="s">
        <v>26</v>
      </c>
      <c r="D1207" t="s">
        <v>11</v>
      </c>
      <c r="E1207">
        <v>538.04</v>
      </c>
      <c r="F1207">
        <v>5</v>
      </c>
      <c r="G1207">
        <v>0.16</v>
      </c>
      <c r="H1207">
        <v>0.14000000000000001</v>
      </c>
      <c r="I1207" t="s">
        <v>16</v>
      </c>
      <c r="J1207" t="s">
        <v>97</v>
      </c>
      <c r="K1207">
        <f t="shared" si="18"/>
        <v>2690.2</v>
      </c>
    </row>
    <row r="1208" spans="1:11">
      <c r="A1208">
        <v>1207</v>
      </c>
      <c r="B1208" s="1">
        <v>45510</v>
      </c>
      <c r="C1208" t="s">
        <v>20</v>
      </c>
      <c r="D1208" t="s">
        <v>15</v>
      </c>
      <c r="E1208">
        <v>1080.1600000000001</v>
      </c>
      <c r="F1208">
        <v>4</v>
      </c>
      <c r="G1208">
        <v>0.06</v>
      </c>
      <c r="H1208">
        <v>0.22</v>
      </c>
      <c r="I1208" t="s">
        <v>21</v>
      </c>
      <c r="J1208" t="s">
        <v>276</v>
      </c>
      <c r="K1208">
        <f t="shared" si="18"/>
        <v>4320.6400000000003</v>
      </c>
    </row>
    <row r="1209" spans="1:11">
      <c r="A1209">
        <v>1208</v>
      </c>
      <c r="B1209" s="1">
        <v>45550</v>
      </c>
      <c r="C1209" t="s">
        <v>26</v>
      </c>
      <c r="D1209" t="s">
        <v>11</v>
      </c>
      <c r="E1209">
        <v>775.97</v>
      </c>
      <c r="F1209">
        <v>5</v>
      </c>
      <c r="G1209">
        <v>0.12</v>
      </c>
      <c r="H1209">
        <v>0.39</v>
      </c>
      <c r="I1209" t="s">
        <v>12</v>
      </c>
      <c r="J1209" t="s">
        <v>13</v>
      </c>
      <c r="K1209">
        <f t="shared" si="18"/>
        <v>3879.8500000000004</v>
      </c>
    </row>
    <row r="1210" spans="1:11">
      <c r="A1210">
        <v>1209</v>
      </c>
      <c r="B1210" s="1">
        <v>45347</v>
      </c>
      <c r="C1210" t="s">
        <v>31</v>
      </c>
      <c r="D1210" t="s">
        <v>11</v>
      </c>
      <c r="E1210">
        <v>680.48</v>
      </c>
      <c r="F1210">
        <v>5</v>
      </c>
      <c r="G1210">
        <v>0.02</v>
      </c>
      <c r="H1210">
        <v>0.2</v>
      </c>
      <c r="I1210" t="s">
        <v>12</v>
      </c>
      <c r="J1210" t="s">
        <v>289</v>
      </c>
      <c r="K1210">
        <f t="shared" si="18"/>
        <v>3402.4</v>
      </c>
    </row>
    <row r="1211" spans="1:11">
      <c r="A1211">
        <v>1210</v>
      </c>
      <c r="B1211" s="1">
        <v>45446</v>
      </c>
      <c r="C1211" t="s">
        <v>20</v>
      </c>
      <c r="D1211" t="s">
        <v>15</v>
      </c>
      <c r="E1211">
        <v>771.24</v>
      </c>
      <c r="F1211">
        <v>5</v>
      </c>
      <c r="G1211">
        <v>0.26</v>
      </c>
      <c r="H1211">
        <v>0.35</v>
      </c>
      <c r="I1211" t="s">
        <v>21</v>
      </c>
      <c r="J1211" t="s">
        <v>151</v>
      </c>
      <c r="K1211">
        <f t="shared" si="18"/>
        <v>3856.2</v>
      </c>
    </row>
    <row r="1212" spans="1:11">
      <c r="A1212">
        <v>1211</v>
      </c>
      <c r="B1212" s="1">
        <v>45549</v>
      </c>
      <c r="C1212" t="s">
        <v>20</v>
      </c>
      <c r="D1212" t="s">
        <v>15</v>
      </c>
      <c r="E1212">
        <v>975.62</v>
      </c>
      <c r="F1212">
        <v>4</v>
      </c>
      <c r="G1212">
        <v>0.09</v>
      </c>
      <c r="H1212">
        <v>0.12</v>
      </c>
      <c r="I1212" t="s">
        <v>12</v>
      </c>
      <c r="J1212" t="s">
        <v>305</v>
      </c>
      <c r="K1212">
        <f t="shared" si="18"/>
        <v>3902.48</v>
      </c>
    </row>
    <row r="1213" spans="1:11">
      <c r="A1213">
        <v>1212</v>
      </c>
      <c r="B1213" s="1">
        <v>45313</v>
      </c>
      <c r="C1213" t="s">
        <v>31</v>
      </c>
      <c r="D1213" t="s">
        <v>11</v>
      </c>
      <c r="E1213">
        <v>39.5</v>
      </c>
      <c r="F1213">
        <v>4</v>
      </c>
      <c r="G1213">
        <v>7.0000000000000007E-2</v>
      </c>
      <c r="H1213">
        <v>0.15</v>
      </c>
      <c r="I1213" t="s">
        <v>24</v>
      </c>
      <c r="J1213" t="s">
        <v>249</v>
      </c>
      <c r="K1213">
        <f t="shared" si="18"/>
        <v>158</v>
      </c>
    </row>
    <row r="1214" spans="1:11">
      <c r="A1214">
        <v>1213</v>
      </c>
      <c r="B1214" s="1">
        <v>45507</v>
      </c>
      <c r="C1214" t="s">
        <v>26</v>
      </c>
      <c r="D1214" t="s">
        <v>11</v>
      </c>
      <c r="E1214">
        <v>473.54</v>
      </c>
      <c r="F1214">
        <v>3</v>
      </c>
      <c r="G1214">
        <v>0.09</v>
      </c>
      <c r="H1214">
        <v>0.23</v>
      </c>
      <c r="I1214" t="s">
        <v>21</v>
      </c>
      <c r="J1214" t="s">
        <v>171</v>
      </c>
      <c r="K1214">
        <f t="shared" si="18"/>
        <v>1420.6200000000001</v>
      </c>
    </row>
    <row r="1215" spans="1:11">
      <c r="A1215">
        <v>1214</v>
      </c>
      <c r="B1215" s="1">
        <v>45559</v>
      </c>
      <c r="C1215" t="s">
        <v>23</v>
      </c>
      <c r="D1215" t="s">
        <v>15</v>
      </c>
      <c r="E1215">
        <v>1366.87</v>
      </c>
      <c r="F1215">
        <v>5</v>
      </c>
      <c r="G1215">
        <v>7.0000000000000007E-2</v>
      </c>
      <c r="H1215">
        <v>0.3</v>
      </c>
      <c r="I1215" t="s">
        <v>12</v>
      </c>
      <c r="J1215" t="s">
        <v>142</v>
      </c>
      <c r="K1215">
        <f t="shared" si="18"/>
        <v>6834.3499999999995</v>
      </c>
    </row>
    <row r="1216" spans="1:11">
      <c r="A1216">
        <v>1215</v>
      </c>
      <c r="B1216" s="1">
        <v>45627</v>
      </c>
      <c r="C1216" t="s">
        <v>31</v>
      </c>
      <c r="D1216" t="s">
        <v>11</v>
      </c>
      <c r="E1216">
        <v>808.93</v>
      </c>
      <c r="F1216">
        <v>2</v>
      </c>
      <c r="G1216">
        <v>0.05</v>
      </c>
      <c r="H1216">
        <v>0.33</v>
      </c>
      <c r="I1216" t="s">
        <v>24</v>
      </c>
      <c r="J1216" t="s">
        <v>269</v>
      </c>
      <c r="K1216">
        <f t="shared" si="18"/>
        <v>1617.86</v>
      </c>
    </row>
    <row r="1217" spans="1:11">
      <c r="A1217">
        <v>1216</v>
      </c>
      <c r="B1217" s="1">
        <v>45302</v>
      </c>
      <c r="C1217" t="s">
        <v>10</v>
      </c>
      <c r="D1217" t="s">
        <v>11</v>
      </c>
      <c r="E1217">
        <v>864.71</v>
      </c>
      <c r="F1217">
        <v>3</v>
      </c>
      <c r="G1217">
        <v>0.14000000000000001</v>
      </c>
      <c r="H1217">
        <v>0.2</v>
      </c>
      <c r="I1217" t="s">
        <v>24</v>
      </c>
      <c r="J1217" t="s">
        <v>302</v>
      </c>
      <c r="K1217">
        <f t="shared" si="18"/>
        <v>2594.13</v>
      </c>
    </row>
    <row r="1218" spans="1:11">
      <c r="A1218">
        <v>1217</v>
      </c>
      <c r="B1218" s="1">
        <v>45453</v>
      </c>
      <c r="C1218" t="s">
        <v>14</v>
      </c>
      <c r="D1218" t="s">
        <v>15</v>
      </c>
      <c r="E1218">
        <v>1090.27</v>
      </c>
      <c r="F1218">
        <v>5</v>
      </c>
      <c r="G1218">
        <v>0.17</v>
      </c>
      <c r="H1218">
        <v>0.28999999999999998</v>
      </c>
      <c r="I1218" t="s">
        <v>24</v>
      </c>
      <c r="J1218" t="s">
        <v>263</v>
      </c>
      <c r="K1218">
        <f t="shared" si="18"/>
        <v>5451.35</v>
      </c>
    </row>
    <row r="1219" spans="1:11">
      <c r="A1219">
        <v>1218</v>
      </c>
      <c r="B1219" s="1">
        <v>45361</v>
      </c>
      <c r="C1219" t="s">
        <v>31</v>
      </c>
      <c r="D1219" t="s">
        <v>11</v>
      </c>
      <c r="E1219">
        <v>680.83</v>
      </c>
      <c r="F1219">
        <v>3</v>
      </c>
      <c r="G1219">
        <v>0.13</v>
      </c>
      <c r="H1219">
        <v>0.19</v>
      </c>
      <c r="I1219" t="s">
        <v>12</v>
      </c>
      <c r="J1219" t="s">
        <v>292</v>
      </c>
      <c r="K1219">
        <f t="shared" si="18"/>
        <v>2042.4900000000002</v>
      </c>
    </row>
    <row r="1220" spans="1:11">
      <c r="A1220">
        <v>1219</v>
      </c>
      <c r="B1220" s="1">
        <v>45490</v>
      </c>
      <c r="C1220" t="s">
        <v>23</v>
      </c>
      <c r="D1220" t="s">
        <v>15</v>
      </c>
      <c r="E1220">
        <v>293.10000000000002</v>
      </c>
      <c r="F1220">
        <v>4</v>
      </c>
      <c r="G1220">
        <v>0.1</v>
      </c>
      <c r="H1220">
        <v>0.18</v>
      </c>
      <c r="I1220" t="s">
        <v>24</v>
      </c>
      <c r="J1220" t="s">
        <v>269</v>
      </c>
      <c r="K1220">
        <f t="shared" ref="K1220:K1283" si="19">E1220*F1220</f>
        <v>1172.4000000000001</v>
      </c>
    </row>
    <row r="1221" spans="1:11">
      <c r="A1221">
        <v>1220</v>
      </c>
      <c r="B1221" s="1">
        <v>45382</v>
      </c>
      <c r="C1221" t="s">
        <v>31</v>
      </c>
      <c r="D1221" t="s">
        <v>11</v>
      </c>
      <c r="E1221">
        <v>464.48</v>
      </c>
      <c r="F1221">
        <v>5</v>
      </c>
      <c r="G1221">
        <v>0.26</v>
      </c>
      <c r="H1221">
        <v>0.31</v>
      </c>
      <c r="I1221" t="s">
        <v>21</v>
      </c>
      <c r="J1221" t="s">
        <v>309</v>
      </c>
      <c r="K1221">
        <f t="shared" si="19"/>
        <v>2322.4</v>
      </c>
    </row>
    <row r="1222" spans="1:11">
      <c r="A1222">
        <v>1221</v>
      </c>
      <c r="B1222" s="1">
        <v>45626</v>
      </c>
      <c r="C1222" t="s">
        <v>31</v>
      </c>
      <c r="D1222" t="s">
        <v>11</v>
      </c>
      <c r="E1222">
        <v>941.13</v>
      </c>
      <c r="F1222">
        <v>2</v>
      </c>
      <c r="G1222">
        <v>0.27</v>
      </c>
      <c r="H1222">
        <v>0.28999999999999998</v>
      </c>
      <c r="I1222" t="s">
        <v>21</v>
      </c>
      <c r="J1222" t="s">
        <v>82</v>
      </c>
      <c r="K1222">
        <f t="shared" si="19"/>
        <v>1882.26</v>
      </c>
    </row>
    <row r="1223" spans="1:11">
      <c r="A1223">
        <v>1222</v>
      </c>
      <c r="B1223" s="1">
        <v>45580</v>
      </c>
      <c r="C1223" t="s">
        <v>20</v>
      </c>
      <c r="D1223" t="s">
        <v>15</v>
      </c>
      <c r="E1223">
        <v>974.76</v>
      </c>
      <c r="F1223">
        <v>5</v>
      </c>
      <c r="G1223">
        <v>0.15</v>
      </c>
      <c r="H1223">
        <v>0.33</v>
      </c>
      <c r="I1223" t="s">
        <v>16</v>
      </c>
      <c r="J1223" t="s">
        <v>265</v>
      </c>
      <c r="K1223">
        <f t="shared" si="19"/>
        <v>4873.8</v>
      </c>
    </row>
    <row r="1224" spans="1:11">
      <c r="A1224">
        <v>1223</v>
      </c>
      <c r="B1224" s="1">
        <v>45584</v>
      </c>
      <c r="C1224" t="s">
        <v>14</v>
      </c>
      <c r="D1224" t="s">
        <v>15</v>
      </c>
      <c r="E1224">
        <v>701.09</v>
      </c>
      <c r="F1224">
        <v>5</v>
      </c>
      <c r="G1224">
        <v>0.01</v>
      </c>
      <c r="H1224">
        <v>0.28999999999999998</v>
      </c>
      <c r="I1224" t="s">
        <v>24</v>
      </c>
      <c r="J1224" t="s">
        <v>267</v>
      </c>
      <c r="K1224">
        <f t="shared" si="19"/>
        <v>3505.4500000000003</v>
      </c>
    </row>
    <row r="1225" spans="1:11">
      <c r="A1225">
        <v>1224</v>
      </c>
      <c r="B1225" s="1">
        <v>45591</v>
      </c>
      <c r="C1225" t="s">
        <v>20</v>
      </c>
      <c r="D1225" t="s">
        <v>15</v>
      </c>
      <c r="E1225">
        <v>666.65</v>
      </c>
      <c r="F1225">
        <v>2</v>
      </c>
      <c r="G1225">
        <v>0.08</v>
      </c>
      <c r="H1225">
        <v>0.23</v>
      </c>
      <c r="I1225" t="s">
        <v>16</v>
      </c>
      <c r="J1225" t="s">
        <v>163</v>
      </c>
      <c r="K1225">
        <f t="shared" si="19"/>
        <v>1333.3</v>
      </c>
    </row>
    <row r="1226" spans="1:11">
      <c r="A1226">
        <v>1225</v>
      </c>
      <c r="B1226" s="1">
        <v>45389</v>
      </c>
      <c r="C1226" t="s">
        <v>23</v>
      </c>
      <c r="D1226" t="s">
        <v>15</v>
      </c>
      <c r="E1226">
        <v>1197.6400000000001</v>
      </c>
      <c r="F1226">
        <v>1</v>
      </c>
      <c r="G1226">
        <v>0.03</v>
      </c>
      <c r="H1226">
        <v>0.28000000000000003</v>
      </c>
      <c r="I1226" t="s">
        <v>12</v>
      </c>
      <c r="J1226" t="s">
        <v>49</v>
      </c>
      <c r="K1226">
        <f t="shared" si="19"/>
        <v>1197.6400000000001</v>
      </c>
    </row>
    <row r="1227" spans="1:11">
      <c r="A1227">
        <v>1226</v>
      </c>
      <c r="B1227" s="1">
        <v>45383</v>
      </c>
      <c r="C1227" t="s">
        <v>14</v>
      </c>
      <c r="D1227" t="s">
        <v>15</v>
      </c>
      <c r="E1227">
        <v>1318.76</v>
      </c>
      <c r="F1227">
        <v>5</v>
      </c>
      <c r="G1227">
        <v>0.14000000000000001</v>
      </c>
      <c r="H1227">
        <v>0.13</v>
      </c>
      <c r="I1227" t="s">
        <v>24</v>
      </c>
      <c r="J1227" t="s">
        <v>99</v>
      </c>
      <c r="K1227">
        <f t="shared" si="19"/>
        <v>6593.8</v>
      </c>
    </row>
    <row r="1228" spans="1:11">
      <c r="A1228">
        <v>1227</v>
      </c>
      <c r="B1228" s="1">
        <v>45641</v>
      </c>
      <c r="C1228" t="s">
        <v>14</v>
      </c>
      <c r="D1228" t="s">
        <v>15</v>
      </c>
      <c r="E1228">
        <v>1305.3</v>
      </c>
      <c r="F1228">
        <v>5</v>
      </c>
      <c r="G1228">
        <v>0.22</v>
      </c>
      <c r="H1228">
        <v>0.28999999999999998</v>
      </c>
      <c r="I1228" t="s">
        <v>24</v>
      </c>
      <c r="J1228" t="s">
        <v>319</v>
      </c>
      <c r="K1228">
        <f t="shared" si="19"/>
        <v>6526.5</v>
      </c>
    </row>
    <row r="1229" spans="1:11">
      <c r="A1229">
        <v>1228</v>
      </c>
      <c r="B1229" s="1">
        <v>45338</v>
      </c>
      <c r="C1229" t="s">
        <v>26</v>
      </c>
      <c r="D1229" t="s">
        <v>11</v>
      </c>
      <c r="E1229">
        <v>190.79</v>
      </c>
      <c r="F1229">
        <v>3</v>
      </c>
      <c r="G1229">
        <v>7.0000000000000007E-2</v>
      </c>
      <c r="H1229">
        <v>0.23</v>
      </c>
      <c r="I1229" t="s">
        <v>12</v>
      </c>
      <c r="J1229" t="s">
        <v>213</v>
      </c>
      <c r="K1229">
        <f t="shared" si="19"/>
        <v>572.37</v>
      </c>
    </row>
    <row r="1230" spans="1:11">
      <c r="A1230">
        <v>1229</v>
      </c>
      <c r="B1230" s="1">
        <v>45515</v>
      </c>
      <c r="C1230" t="s">
        <v>14</v>
      </c>
      <c r="D1230" t="s">
        <v>15</v>
      </c>
      <c r="E1230">
        <v>408.57</v>
      </c>
      <c r="F1230">
        <v>5</v>
      </c>
      <c r="G1230">
        <v>0.28000000000000003</v>
      </c>
      <c r="H1230">
        <v>0.28000000000000003</v>
      </c>
      <c r="I1230" t="s">
        <v>21</v>
      </c>
      <c r="J1230" t="s">
        <v>312</v>
      </c>
      <c r="K1230">
        <f t="shared" si="19"/>
        <v>2042.85</v>
      </c>
    </row>
    <row r="1231" spans="1:11">
      <c r="A1231">
        <v>1230</v>
      </c>
      <c r="B1231" s="1">
        <v>45416</v>
      </c>
      <c r="C1231" t="s">
        <v>14</v>
      </c>
      <c r="D1231" t="s">
        <v>15</v>
      </c>
      <c r="E1231">
        <v>1072.77</v>
      </c>
      <c r="F1231">
        <v>3</v>
      </c>
      <c r="G1231">
        <v>0.22</v>
      </c>
      <c r="H1231">
        <v>0.18</v>
      </c>
      <c r="I1231" t="s">
        <v>21</v>
      </c>
      <c r="J1231" t="s">
        <v>235</v>
      </c>
      <c r="K1231">
        <f t="shared" si="19"/>
        <v>3218.31</v>
      </c>
    </row>
    <row r="1232" spans="1:11">
      <c r="A1232">
        <v>1231</v>
      </c>
      <c r="B1232" s="1">
        <v>45320</v>
      </c>
      <c r="C1232" t="s">
        <v>20</v>
      </c>
      <c r="D1232" t="s">
        <v>15</v>
      </c>
      <c r="E1232">
        <v>276.64</v>
      </c>
      <c r="F1232">
        <v>4</v>
      </c>
      <c r="G1232">
        <v>0.14000000000000001</v>
      </c>
      <c r="H1232">
        <v>0.34</v>
      </c>
      <c r="I1232" t="s">
        <v>16</v>
      </c>
      <c r="J1232" t="s">
        <v>285</v>
      </c>
      <c r="K1232">
        <f t="shared" si="19"/>
        <v>1106.56</v>
      </c>
    </row>
    <row r="1233" spans="1:11">
      <c r="A1233">
        <v>1232</v>
      </c>
      <c r="B1233" s="1">
        <v>45312</v>
      </c>
      <c r="C1233" t="s">
        <v>14</v>
      </c>
      <c r="D1233" t="s">
        <v>15</v>
      </c>
      <c r="E1233">
        <v>1397.74</v>
      </c>
      <c r="F1233">
        <v>1</v>
      </c>
      <c r="G1233">
        <v>0.3</v>
      </c>
      <c r="H1233">
        <v>0.12</v>
      </c>
      <c r="I1233" t="s">
        <v>12</v>
      </c>
      <c r="J1233" t="s">
        <v>66</v>
      </c>
      <c r="K1233">
        <f t="shared" si="19"/>
        <v>1397.74</v>
      </c>
    </row>
    <row r="1234" spans="1:11">
      <c r="A1234">
        <v>1233</v>
      </c>
      <c r="B1234" s="1">
        <v>45629</v>
      </c>
      <c r="C1234" t="s">
        <v>31</v>
      </c>
      <c r="D1234" t="s">
        <v>11</v>
      </c>
      <c r="E1234">
        <v>626.65</v>
      </c>
      <c r="F1234">
        <v>2</v>
      </c>
      <c r="G1234">
        <v>0.02</v>
      </c>
      <c r="H1234">
        <v>0.35</v>
      </c>
      <c r="I1234" t="s">
        <v>12</v>
      </c>
      <c r="J1234" t="s">
        <v>65</v>
      </c>
      <c r="K1234">
        <f t="shared" si="19"/>
        <v>1253.3</v>
      </c>
    </row>
    <row r="1235" spans="1:11">
      <c r="A1235">
        <v>1234</v>
      </c>
      <c r="B1235" s="1">
        <v>45572</v>
      </c>
      <c r="C1235" t="s">
        <v>26</v>
      </c>
      <c r="D1235" t="s">
        <v>11</v>
      </c>
      <c r="E1235">
        <v>1322</v>
      </c>
      <c r="F1235">
        <v>3</v>
      </c>
      <c r="G1235">
        <v>0.16</v>
      </c>
      <c r="H1235">
        <v>0.18</v>
      </c>
      <c r="I1235" t="s">
        <v>12</v>
      </c>
      <c r="J1235" t="s">
        <v>92</v>
      </c>
      <c r="K1235">
        <f t="shared" si="19"/>
        <v>3966</v>
      </c>
    </row>
    <row r="1236" spans="1:11">
      <c r="A1236">
        <v>1235</v>
      </c>
      <c r="B1236" s="1">
        <v>45501</v>
      </c>
      <c r="C1236" t="s">
        <v>10</v>
      </c>
      <c r="D1236" t="s">
        <v>11</v>
      </c>
      <c r="E1236">
        <v>1133.9000000000001</v>
      </c>
      <c r="F1236">
        <v>4</v>
      </c>
      <c r="G1236">
        <v>0.01</v>
      </c>
      <c r="H1236">
        <v>0.21</v>
      </c>
      <c r="I1236" t="s">
        <v>16</v>
      </c>
      <c r="J1236" t="s">
        <v>206</v>
      </c>
      <c r="K1236">
        <f t="shared" si="19"/>
        <v>4535.6000000000004</v>
      </c>
    </row>
    <row r="1237" spans="1:11">
      <c r="A1237">
        <v>1236</v>
      </c>
      <c r="B1237" s="1">
        <v>45549</v>
      </c>
      <c r="C1237" t="s">
        <v>20</v>
      </c>
      <c r="D1237" t="s">
        <v>15</v>
      </c>
      <c r="E1237">
        <v>119.75</v>
      </c>
      <c r="F1237">
        <v>5</v>
      </c>
      <c r="G1237">
        <v>0.14000000000000001</v>
      </c>
      <c r="H1237">
        <v>0.12</v>
      </c>
      <c r="I1237" t="s">
        <v>16</v>
      </c>
      <c r="J1237" t="s">
        <v>145</v>
      </c>
      <c r="K1237">
        <f t="shared" si="19"/>
        <v>598.75</v>
      </c>
    </row>
    <row r="1238" spans="1:11">
      <c r="A1238">
        <v>1237</v>
      </c>
      <c r="B1238" s="1">
        <v>45455</v>
      </c>
      <c r="C1238" t="s">
        <v>31</v>
      </c>
      <c r="D1238" t="s">
        <v>11</v>
      </c>
      <c r="E1238">
        <v>708.84</v>
      </c>
      <c r="F1238">
        <v>5</v>
      </c>
      <c r="G1238">
        <v>0.28000000000000003</v>
      </c>
      <c r="H1238">
        <v>0.18</v>
      </c>
      <c r="I1238" t="s">
        <v>24</v>
      </c>
      <c r="J1238" t="s">
        <v>125</v>
      </c>
      <c r="K1238">
        <f t="shared" si="19"/>
        <v>3544.2000000000003</v>
      </c>
    </row>
    <row r="1239" spans="1:11">
      <c r="A1239">
        <v>1238</v>
      </c>
      <c r="B1239" s="1">
        <v>45509</v>
      </c>
      <c r="C1239" t="s">
        <v>14</v>
      </c>
      <c r="D1239" t="s">
        <v>15</v>
      </c>
      <c r="E1239">
        <v>799.84</v>
      </c>
      <c r="F1239">
        <v>1</v>
      </c>
      <c r="G1239">
        <v>0.1</v>
      </c>
      <c r="H1239">
        <v>0.37</v>
      </c>
      <c r="I1239" t="s">
        <v>16</v>
      </c>
      <c r="J1239" t="s">
        <v>249</v>
      </c>
      <c r="K1239">
        <f t="shared" si="19"/>
        <v>799.84</v>
      </c>
    </row>
    <row r="1240" spans="1:11">
      <c r="A1240">
        <v>1239</v>
      </c>
      <c r="B1240" s="1">
        <v>45317</v>
      </c>
      <c r="C1240" t="s">
        <v>23</v>
      </c>
      <c r="D1240" t="s">
        <v>15</v>
      </c>
      <c r="E1240">
        <v>1031.7</v>
      </c>
      <c r="F1240">
        <v>5</v>
      </c>
      <c r="G1240">
        <v>0.21</v>
      </c>
      <c r="H1240">
        <v>0.19</v>
      </c>
      <c r="I1240" t="s">
        <v>21</v>
      </c>
      <c r="J1240" t="s">
        <v>305</v>
      </c>
      <c r="K1240">
        <f t="shared" si="19"/>
        <v>5158.5</v>
      </c>
    </row>
    <row r="1241" spans="1:11">
      <c r="A1241">
        <v>1240</v>
      </c>
      <c r="B1241" s="1">
        <v>45550</v>
      </c>
      <c r="C1241" t="s">
        <v>31</v>
      </c>
      <c r="D1241" t="s">
        <v>11</v>
      </c>
      <c r="E1241">
        <v>490.61</v>
      </c>
      <c r="F1241">
        <v>3</v>
      </c>
      <c r="G1241">
        <v>0.03</v>
      </c>
      <c r="H1241">
        <v>0.1</v>
      </c>
      <c r="I1241" t="s">
        <v>24</v>
      </c>
      <c r="J1241" t="s">
        <v>178</v>
      </c>
      <c r="K1241">
        <f t="shared" si="19"/>
        <v>1471.83</v>
      </c>
    </row>
    <row r="1242" spans="1:11">
      <c r="A1242">
        <v>1241</v>
      </c>
      <c r="B1242" s="1">
        <v>45440</v>
      </c>
      <c r="C1242" t="s">
        <v>31</v>
      </c>
      <c r="D1242" t="s">
        <v>11</v>
      </c>
      <c r="E1242">
        <v>1307.8</v>
      </c>
      <c r="F1242">
        <v>5</v>
      </c>
      <c r="G1242">
        <v>0.13</v>
      </c>
      <c r="H1242">
        <v>0.24</v>
      </c>
      <c r="I1242" t="s">
        <v>21</v>
      </c>
      <c r="J1242" t="s">
        <v>265</v>
      </c>
      <c r="K1242">
        <f t="shared" si="19"/>
        <v>6539</v>
      </c>
    </row>
    <row r="1243" spans="1:11">
      <c r="A1243">
        <v>1242</v>
      </c>
      <c r="B1243" s="1">
        <v>45649</v>
      </c>
      <c r="C1243" t="s">
        <v>26</v>
      </c>
      <c r="D1243" t="s">
        <v>11</v>
      </c>
      <c r="E1243">
        <v>1307.29</v>
      </c>
      <c r="F1243">
        <v>3</v>
      </c>
      <c r="G1243">
        <v>0.25</v>
      </c>
      <c r="H1243">
        <v>0.17</v>
      </c>
      <c r="I1243" t="s">
        <v>12</v>
      </c>
      <c r="J1243" t="s">
        <v>311</v>
      </c>
      <c r="K1243">
        <f t="shared" si="19"/>
        <v>3921.87</v>
      </c>
    </row>
    <row r="1244" spans="1:11">
      <c r="A1244">
        <v>1243</v>
      </c>
      <c r="B1244" s="1">
        <v>45490</v>
      </c>
      <c r="C1244" t="s">
        <v>10</v>
      </c>
      <c r="D1244" t="s">
        <v>11</v>
      </c>
      <c r="E1244">
        <v>1262.29</v>
      </c>
      <c r="F1244">
        <v>3</v>
      </c>
      <c r="G1244">
        <v>0.11</v>
      </c>
      <c r="H1244">
        <v>0.23</v>
      </c>
      <c r="I1244" t="s">
        <v>12</v>
      </c>
      <c r="J1244" t="s">
        <v>155</v>
      </c>
      <c r="K1244">
        <f t="shared" si="19"/>
        <v>3786.87</v>
      </c>
    </row>
    <row r="1245" spans="1:11">
      <c r="A1245">
        <v>1244</v>
      </c>
      <c r="B1245" s="1">
        <v>45632</v>
      </c>
      <c r="C1245" t="s">
        <v>20</v>
      </c>
      <c r="D1245" t="s">
        <v>15</v>
      </c>
      <c r="E1245">
        <v>308.93</v>
      </c>
      <c r="F1245">
        <v>5</v>
      </c>
      <c r="G1245">
        <v>0.08</v>
      </c>
      <c r="H1245">
        <v>0.28999999999999998</v>
      </c>
      <c r="I1245" t="s">
        <v>21</v>
      </c>
      <c r="J1245" t="s">
        <v>281</v>
      </c>
      <c r="K1245">
        <f t="shared" si="19"/>
        <v>1544.65</v>
      </c>
    </row>
    <row r="1246" spans="1:11">
      <c r="A1246">
        <v>1245</v>
      </c>
      <c r="B1246" s="1">
        <v>45540</v>
      </c>
      <c r="C1246" t="s">
        <v>26</v>
      </c>
      <c r="D1246" t="s">
        <v>11</v>
      </c>
      <c r="E1246">
        <v>1146.05</v>
      </c>
      <c r="F1246">
        <v>4</v>
      </c>
      <c r="G1246">
        <v>0.15</v>
      </c>
      <c r="H1246">
        <v>0.28000000000000003</v>
      </c>
      <c r="I1246" t="s">
        <v>21</v>
      </c>
      <c r="J1246" t="s">
        <v>183</v>
      </c>
      <c r="K1246">
        <f t="shared" si="19"/>
        <v>4584.2</v>
      </c>
    </row>
    <row r="1247" spans="1:11">
      <c r="A1247">
        <v>1246</v>
      </c>
      <c r="B1247" s="1">
        <v>45576</v>
      </c>
      <c r="C1247" t="s">
        <v>10</v>
      </c>
      <c r="D1247" t="s">
        <v>11</v>
      </c>
      <c r="E1247">
        <v>802.4</v>
      </c>
      <c r="F1247">
        <v>1</v>
      </c>
      <c r="G1247">
        <v>0.03</v>
      </c>
      <c r="H1247">
        <v>0.33</v>
      </c>
      <c r="I1247" t="s">
        <v>21</v>
      </c>
      <c r="J1247" t="s">
        <v>238</v>
      </c>
      <c r="K1247">
        <f t="shared" si="19"/>
        <v>802.4</v>
      </c>
    </row>
    <row r="1248" spans="1:11">
      <c r="A1248">
        <v>1247</v>
      </c>
      <c r="B1248" s="1">
        <v>45633</v>
      </c>
      <c r="C1248" t="s">
        <v>31</v>
      </c>
      <c r="D1248" t="s">
        <v>11</v>
      </c>
      <c r="E1248">
        <v>1097.99</v>
      </c>
      <c r="F1248">
        <v>4</v>
      </c>
      <c r="G1248">
        <v>0.06</v>
      </c>
      <c r="H1248">
        <v>0.16</v>
      </c>
      <c r="I1248" t="s">
        <v>12</v>
      </c>
      <c r="J1248" t="s">
        <v>146</v>
      </c>
      <c r="K1248">
        <f t="shared" si="19"/>
        <v>4391.96</v>
      </c>
    </row>
    <row r="1249" spans="1:11">
      <c r="A1249">
        <v>1248</v>
      </c>
      <c r="B1249" s="1">
        <v>45457</v>
      </c>
      <c r="C1249" t="s">
        <v>14</v>
      </c>
      <c r="D1249" t="s">
        <v>15</v>
      </c>
      <c r="E1249">
        <v>1423</v>
      </c>
      <c r="F1249">
        <v>1</v>
      </c>
      <c r="G1249">
        <v>0.25</v>
      </c>
      <c r="H1249">
        <v>0.11</v>
      </c>
      <c r="I1249" t="s">
        <v>16</v>
      </c>
      <c r="J1249" t="s">
        <v>150</v>
      </c>
      <c r="K1249">
        <f t="shared" si="19"/>
        <v>1423</v>
      </c>
    </row>
    <row r="1250" spans="1:11">
      <c r="A1250">
        <v>1249</v>
      </c>
      <c r="B1250" s="1">
        <v>45382</v>
      </c>
      <c r="C1250" t="s">
        <v>23</v>
      </c>
      <c r="D1250" t="s">
        <v>15</v>
      </c>
      <c r="E1250">
        <v>324.20999999999998</v>
      </c>
      <c r="F1250">
        <v>5</v>
      </c>
      <c r="G1250">
        <v>0.1</v>
      </c>
      <c r="H1250">
        <v>0.2</v>
      </c>
      <c r="I1250" t="s">
        <v>24</v>
      </c>
      <c r="J1250" t="s">
        <v>267</v>
      </c>
      <c r="K1250">
        <f t="shared" si="19"/>
        <v>1621.05</v>
      </c>
    </row>
    <row r="1251" spans="1:11">
      <c r="A1251">
        <v>1250</v>
      </c>
      <c r="B1251" s="1">
        <v>45511</v>
      </c>
      <c r="C1251" t="s">
        <v>31</v>
      </c>
      <c r="D1251" t="s">
        <v>11</v>
      </c>
      <c r="E1251">
        <v>429.46</v>
      </c>
      <c r="F1251">
        <v>2</v>
      </c>
      <c r="G1251">
        <v>0.13</v>
      </c>
      <c r="H1251">
        <v>0.18</v>
      </c>
      <c r="I1251" t="s">
        <v>16</v>
      </c>
      <c r="J1251" t="s">
        <v>94</v>
      </c>
      <c r="K1251">
        <f t="shared" si="19"/>
        <v>858.92</v>
      </c>
    </row>
    <row r="1252" spans="1:11">
      <c r="A1252">
        <v>1251</v>
      </c>
      <c r="B1252" s="1">
        <v>45455</v>
      </c>
      <c r="C1252" t="s">
        <v>26</v>
      </c>
      <c r="D1252" t="s">
        <v>11</v>
      </c>
      <c r="E1252">
        <v>1080.54</v>
      </c>
      <c r="F1252">
        <v>5</v>
      </c>
      <c r="G1252">
        <v>0.2</v>
      </c>
      <c r="H1252">
        <v>0.16</v>
      </c>
      <c r="I1252" t="s">
        <v>24</v>
      </c>
      <c r="J1252" t="s">
        <v>304</v>
      </c>
      <c r="K1252">
        <f t="shared" si="19"/>
        <v>5402.7</v>
      </c>
    </row>
    <row r="1253" spans="1:11">
      <c r="A1253">
        <v>1252</v>
      </c>
      <c r="B1253" s="1">
        <v>45420</v>
      </c>
      <c r="C1253" t="s">
        <v>10</v>
      </c>
      <c r="D1253" t="s">
        <v>11</v>
      </c>
      <c r="E1253">
        <v>443.6</v>
      </c>
      <c r="F1253">
        <v>2</v>
      </c>
      <c r="G1253">
        <v>0.04</v>
      </c>
      <c r="H1253">
        <v>0.3</v>
      </c>
      <c r="I1253" t="s">
        <v>24</v>
      </c>
      <c r="J1253" t="s">
        <v>307</v>
      </c>
      <c r="K1253">
        <f t="shared" si="19"/>
        <v>887.2</v>
      </c>
    </row>
    <row r="1254" spans="1:11">
      <c r="A1254">
        <v>1253</v>
      </c>
      <c r="B1254" s="1">
        <v>45358</v>
      </c>
      <c r="C1254" t="s">
        <v>10</v>
      </c>
      <c r="D1254" t="s">
        <v>11</v>
      </c>
      <c r="E1254">
        <v>139.18</v>
      </c>
      <c r="F1254">
        <v>2</v>
      </c>
      <c r="G1254">
        <v>0.06</v>
      </c>
      <c r="H1254">
        <v>0.13</v>
      </c>
      <c r="I1254" t="s">
        <v>21</v>
      </c>
      <c r="J1254" t="s">
        <v>69</v>
      </c>
      <c r="K1254">
        <f t="shared" si="19"/>
        <v>278.36</v>
      </c>
    </row>
    <row r="1255" spans="1:11">
      <c r="A1255">
        <v>1254</v>
      </c>
      <c r="B1255" s="1">
        <v>45373</v>
      </c>
      <c r="C1255" t="s">
        <v>20</v>
      </c>
      <c r="D1255" t="s">
        <v>15</v>
      </c>
      <c r="E1255">
        <v>913.33</v>
      </c>
      <c r="F1255">
        <v>2</v>
      </c>
      <c r="G1255">
        <v>0.19</v>
      </c>
      <c r="H1255">
        <v>0.33</v>
      </c>
      <c r="I1255" t="s">
        <v>12</v>
      </c>
      <c r="J1255" t="s">
        <v>200</v>
      </c>
      <c r="K1255">
        <f t="shared" si="19"/>
        <v>1826.66</v>
      </c>
    </row>
    <row r="1256" spans="1:11">
      <c r="A1256">
        <v>1255</v>
      </c>
      <c r="B1256" s="1">
        <v>45315</v>
      </c>
      <c r="C1256" t="s">
        <v>14</v>
      </c>
      <c r="D1256" t="s">
        <v>15</v>
      </c>
      <c r="E1256">
        <v>1255.83</v>
      </c>
      <c r="F1256">
        <v>4</v>
      </c>
      <c r="G1256">
        <v>0.2</v>
      </c>
      <c r="H1256">
        <v>0.25</v>
      </c>
      <c r="I1256" t="s">
        <v>16</v>
      </c>
      <c r="J1256" t="s">
        <v>308</v>
      </c>
      <c r="K1256">
        <f t="shared" si="19"/>
        <v>5023.32</v>
      </c>
    </row>
    <row r="1257" spans="1:11">
      <c r="A1257">
        <v>1256</v>
      </c>
      <c r="B1257" s="1">
        <v>45408</v>
      </c>
      <c r="C1257" t="s">
        <v>20</v>
      </c>
      <c r="D1257" t="s">
        <v>15</v>
      </c>
      <c r="E1257">
        <v>447.05</v>
      </c>
      <c r="F1257">
        <v>1</v>
      </c>
      <c r="G1257">
        <v>0.01</v>
      </c>
      <c r="H1257">
        <v>0.23</v>
      </c>
      <c r="I1257" t="s">
        <v>24</v>
      </c>
      <c r="J1257" t="s">
        <v>172</v>
      </c>
      <c r="K1257">
        <f t="shared" si="19"/>
        <v>447.05</v>
      </c>
    </row>
    <row r="1258" spans="1:11">
      <c r="A1258">
        <v>1257</v>
      </c>
      <c r="B1258" s="1">
        <v>45622</v>
      </c>
      <c r="C1258" t="s">
        <v>14</v>
      </c>
      <c r="D1258" t="s">
        <v>15</v>
      </c>
      <c r="E1258">
        <v>74.3</v>
      </c>
      <c r="F1258">
        <v>1</v>
      </c>
      <c r="G1258">
        <v>0.05</v>
      </c>
      <c r="H1258">
        <v>0.31</v>
      </c>
      <c r="I1258" t="s">
        <v>12</v>
      </c>
      <c r="J1258" t="s">
        <v>260</v>
      </c>
      <c r="K1258">
        <f t="shared" si="19"/>
        <v>74.3</v>
      </c>
    </row>
    <row r="1259" spans="1:11">
      <c r="A1259">
        <v>1258</v>
      </c>
      <c r="B1259" s="1">
        <v>45315</v>
      </c>
      <c r="C1259" t="s">
        <v>31</v>
      </c>
      <c r="D1259" t="s">
        <v>11</v>
      </c>
      <c r="E1259">
        <v>346.15</v>
      </c>
      <c r="F1259">
        <v>4</v>
      </c>
      <c r="G1259">
        <v>0.01</v>
      </c>
      <c r="H1259">
        <v>0.25</v>
      </c>
      <c r="I1259" t="s">
        <v>24</v>
      </c>
      <c r="J1259" t="s">
        <v>207</v>
      </c>
      <c r="K1259">
        <f t="shared" si="19"/>
        <v>1384.6</v>
      </c>
    </row>
    <row r="1260" spans="1:11">
      <c r="A1260">
        <v>1259</v>
      </c>
      <c r="B1260" s="1">
        <v>45307</v>
      </c>
      <c r="C1260" t="s">
        <v>14</v>
      </c>
      <c r="D1260" t="s">
        <v>15</v>
      </c>
      <c r="E1260">
        <v>237.75</v>
      </c>
      <c r="F1260">
        <v>3</v>
      </c>
      <c r="G1260">
        <v>0.28999999999999998</v>
      </c>
      <c r="H1260">
        <v>0.17</v>
      </c>
      <c r="I1260" t="s">
        <v>12</v>
      </c>
      <c r="J1260" t="s">
        <v>180</v>
      </c>
      <c r="K1260">
        <f t="shared" si="19"/>
        <v>713.25</v>
      </c>
    </row>
    <row r="1261" spans="1:11">
      <c r="A1261">
        <v>1260</v>
      </c>
      <c r="B1261" s="1">
        <v>45540</v>
      </c>
      <c r="C1261" t="s">
        <v>10</v>
      </c>
      <c r="D1261" t="s">
        <v>11</v>
      </c>
      <c r="E1261">
        <v>1136.74</v>
      </c>
      <c r="F1261">
        <v>3</v>
      </c>
      <c r="G1261">
        <v>7.0000000000000007E-2</v>
      </c>
      <c r="H1261">
        <v>0.15</v>
      </c>
      <c r="I1261" t="s">
        <v>12</v>
      </c>
      <c r="J1261" t="s">
        <v>254</v>
      </c>
      <c r="K1261">
        <f t="shared" si="19"/>
        <v>3410.2200000000003</v>
      </c>
    </row>
    <row r="1262" spans="1:11">
      <c r="A1262">
        <v>1261</v>
      </c>
      <c r="B1262" s="1">
        <v>45590</v>
      </c>
      <c r="C1262" t="s">
        <v>26</v>
      </c>
      <c r="D1262" t="s">
        <v>11</v>
      </c>
      <c r="E1262">
        <v>542.4</v>
      </c>
      <c r="F1262">
        <v>1</v>
      </c>
      <c r="G1262">
        <v>0.23</v>
      </c>
      <c r="H1262">
        <v>0.19</v>
      </c>
      <c r="I1262" t="s">
        <v>24</v>
      </c>
      <c r="J1262" t="s">
        <v>141</v>
      </c>
      <c r="K1262">
        <f t="shared" si="19"/>
        <v>542.4</v>
      </c>
    </row>
    <row r="1263" spans="1:11">
      <c r="A1263">
        <v>1262</v>
      </c>
      <c r="B1263" s="1">
        <v>45394</v>
      </c>
      <c r="C1263" t="s">
        <v>26</v>
      </c>
      <c r="D1263" t="s">
        <v>11</v>
      </c>
      <c r="E1263">
        <v>1393.82</v>
      </c>
      <c r="F1263">
        <v>5</v>
      </c>
      <c r="G1263">
        <v>0.3</v>
      </c>
      <c r="H1263">
        <v>0.19</v>
      </c>
      <c r="I1263" t="s">
        <v>12</v>
      </c>
      <c r="J1263" t="s">
        <v>221</v>
      </c>
      <c r="K1263">
        <f t="shared" si="19"/>
        <v>6969.0999999999995</v>
      </c>
    </row>
    <row r="1264" spans="1:11">
      <c r="A1264">
        <v>1263</v>
      </c>
      <c r="B1264" s="1">
        <v>45550</v>
      </c>
      <c r="C1264" t="s">
        <v>31</v>
      </c>
      <c r="D1264" t="s">
        <v>11</v>
      </c>
      <c r="E1264">
        <v>1361.55</v>
      </c>
      <c r="F1264">
        <v>2</v>
      </c>
      <c r="G1264">
        <v>0.17</v>
      </c>
      <c r="H1264">
        <v>0.18</v>
      </c>
      <c r="I1264" t="s">
        <v>21</v>
      </c>
      <c r="J1264" t="s">
        <v>202</v>
      </c>
      <c r="K1264">
        <f t="shared" si="19"/>
        <v>2723.1</v>
      </c>
    </row>
    <row r="1265" spans="1:11">
      <c r="A1265">
        <v>1264</v>
      </c>
      <c r="B1265" s="1">
        <v>45370</v>
      </c>
      <c r="C1265" t="s">
        <v>20</v>
      </c>
      <c r="D1265" t="s">
        <v>15</v>
      </c>
      <c r="E1265">
        <v>406.97</v>
      </c>
      <c r="F1265">
        <v>1</v>
      </c>
      <c r="G1265">
        <v>0.27</v>
      </c>
      <c r="H1265">
        <v>0.13</v>
      </c>
      <c r="I1265" t="s">
        <v>12</v>
      </c>
      <c r="J1265" t="s">
        <v>30</v>
      </c>
      <c r="K1265">
        <f t="shared" si="19"/>
        <v>406.97</v>
      </c>
    </row>
    <row r="1266" spans="1:11">
      <c r="A1266">
        <v>1265</v>
      </c>
      <c r="B1266" s="1">
        <v>45579</v>
      </c>
      <c r="C1266" t="s">
        <v>23</v>
      </c>
      <c r="D1266" t="s">
        <v>15</v>
      </c>
      <c r="E1266">
        <v>328.29</v>
      </c>
      <c r="F1266">
        <v>4</v>
      </c>
      <c r="G1266">
        <v>0.16</v>
      </c>
      <c r="H1266">
        <v>0.31</v>
      </c>
      <c r="I1266" t="s">
        <v>21</v>
      </c>
      <c r="J1266" t="s">
        <v>278</v>
      </c>
      <c r="K1266">
        <f t="shared" si="19"/>
        <v>1313.16</v>
      </c>
    </row>
    <row r="1267" spans="1:11">
      <c r="A1267">
        <v>1266</v>
      </c>
      <c r="B1267" s="1">
        <v>45577</v>
      </c>
      <c r="C1267" t="s">
        <v>10</v>
      </c>
      <c r="D1267" t="s">
        <v>11</v>
      </c>
      <c r="E1267">
        <v>1023.31</v>
      </c>
      <c r="F1267">
        <v>1</v>
      </c>
      <c r="G1267">
        <v>0.14000000000000001</v>
      </c>
      <c r="H1267">
        <v>0.12</v>
      </c>
      <c r="I1267" t="s">
        <v>12</v>
      </c>
      <c r="J1267" t="s">
        <v>44</v>
      </c>
      <c r="K1267">
        <f t="shared" si="19"/>
        <v>1023.31</v>
      </c>
    </row>
    <row r="1268" spans="1:11">
      <c r="A1268">
        <v>1267</v>
      </c>
      <c r="B1268" s="1">
        <v>45374</v>
      </c>
      <c r="C1268" t="s">
        <v>20</v>
      </c>
      <c r="D1268" t="s">
        <v>15</v>
      </c>
      <c r="E1268">
        <v>162.19999999999999</v>
      </c>
      <c r="F1268">
        <v>1</v>
      </c>
      <c r="G1268">
        <v>0.17</v>
      </c>
      <c r="H1268">
        <v>0.25</v>
      </c>
      <c r="I1268" t="s">
        <v>24</v>
      </c>
      <c r="J1268" t="s">
        <v>22</v>
      </c>
      <c r="K1268">
        <f t="shared" si="19"/>
        <v>162.19999999999999</v>
      </c>
    </row>
    <row r="1269" spans="1:11">
      <c r="A1269">
        <v>1268</v>
      </c>
      <c r="B1269" s="1">
        <v>45648</v>
      </c>
      <c r="C1269" t="s">
        <v>10</v>
      </c>
      <c r="D1269" t="s">
        <v>11</v>
      </c>
      <c r="E1269">
        <v>1198.48</v>
      </c>
      <c r="F1269">
        <v>3</v>
      </c>
      <c r="G1269">
        <v>0.04</v>
      </c>
      <c r="H1269">
        <v>0.28999999999999998</v>
      </c>
      <c r="I1269" t="s">
        <v>21</v>
      </c>
      <c r="J1269" t="s">
        <v>210</v>
      </c>
      <c r="K1269">
        <f t="shared" si="19"/>
        <v>3595.44</v>
      </c>
    </row>
    <row r="1270" spans="1:11">
      <c r="A1270">
        <v>1269</v>
      </c>
      <c r="B1270" s="1">
        <v>45460</v>
      </c>
      <c r="C1270" t="s">
        <v>23</v>
      </c>
      <c r="D1270" t="s">
        <v>15</v>
      </c>
      <c r="E1270">
        <v>168.97</v>
      </c>
      <c r="F1270">
        <v>4</v>
      </c>
      <c r="G1270">
        <v>0.03</v>
      </c>
      <c r="H1270">
        <v>0.17</v>
      </c>
      <c r="I1270" t="s">
        <v>21</v>
      </c>
      <c r="J1270" t="s">
        <v>310</v>
      </c>
      <c r="K1270">
        <f t="shared" si="19"/>
        <v>675.88</v>
      </c>
    </row>
    <row r="1271" spans="1:11">
      <c r="A1271">
        <v>1270</v>
      </c>
      <c r="B1271" s="1">
        <v>45394</v>
      </c>
      <c r="C1271" t="s">
        <v>23</v>
      </c>
      <c r="D1271" t="s">
        <v>15</v>
      </c>
      <c r="E1271">
        <v>564.70000000000005</v>
      </c>
      <c r="F1271">
        <v>2</v>
      </c>
      <c r="G1271">
        <v>0.2</v>
      </c>
      <c r="H1271">
        <v>0.3</v>
      </c>
      <c r="I1271" t="s">
        <v>12</v>
      </c>
      <c r="J1271" t="s">
        <v>203</v>
      </c>
      <c r="K1271">
        <f t="shared" si="19"/>
        <v>1129.4000000000001</v>
      </c>
    </row>
    <row r="1272" spans="1:11">
      <c r="A1272">
        <v>1271</v>
      </c>
      <c r="B1272" s="1">
        <v>45627</v>
      </c>
      <c r="C1272" t="s">
        <v>14</v>
      </c>
      <c r="D1272" t="s">
        <v>15</v>
      </c>
      <c r="E1272">
        <v>51.06</v>
      </c>
      <c r="F1272">
        <v>5</v>
      </c>
      <c r="G1272">
        <v>0.01</v>
      </c>
      <c r="H1272">
        <v>0.24</v>
      </c>
      <c r="I1272" t="s">
        <v>16</v>
      </c>
      <c r="J1272" t="s">
        <v>93</v>
      </c>
      <c r="K1272">
        <f t="shared" si="19"/>
        <v>255.3</v>
      </c>
    </row>
    <row r="1273" spans="1:11">
      <c r="A1273">
        <v>1272</v>
      </c>
      <c r="B1273" s="1">
        <v>45392</v>
      </c>
      <c r="C1273" t="s">
        <v>23</v>
      </c>
      <c r="D1273" t="s">
        <v>15</v>
      </c>
      <c r="E1273">
        <v>778.02</v>
      </c>
      <c r="F1273">
        <v>3</v>
      </c>
      <c r="G1273">
        <v>0.25</v>
      </c>
      <c r="H1273">
        <v>0.4</v>
      </c>
      <c r="I1273" t="s">
        <v>21</v>
      </c>
      <c r="J1273" t="s">
        <v>249</v>
      </c>
      <c r="K1273">
        <f t="shared" si="19"/>
        <v>2334.06</v>
      </c>
    </row>
    <row r="1274" spans="1:11">
      <c r="A1274">
        <v>1273</v>
      </c>
      <c r="B1274" s="1">
        <v>45293</v>
      </c>
      <c r="C1274" t="s">
        <v>14</v>
      </c>
      <c r="D1274" t="s">
        <v>15</v>
      </c>
      <c r="E1274">
        <v>295.55</v>
      </c>
      <c r="F1274">
        <v>3</v>
      </c>
      <c r="G1274">
        <v>0.21</v>
      </c>
      <c r="H1274">
        <v>0.17</v>
      </c>
      <c r="I1274" t="s">
        <v>16</v>
      </c>
      <c r="J1274" t="s">
        <v>116</v>
      </c>
      <c r="K1274">
        <f t="shared" si="19"/>
        <v>886.65000000000009</v>
      </c>
    </row>
    <row r="1275" spans="1:11">
      <c r="A1275">
        <v>1274</v>
      </c>
      <c r="B1275" s="1">
        <v>45431</v>
      </c>
      <c r="C1275" t="s">
        <v>10</v>
      </c>
      <c r="D1275" t="s">
        <v>11</v>
      </c>
      <c r="E1275">
        <v>182.87</v>
      </c>
      <c r="F1275">
        <v>3</v>
      </c>
      <c r="G1275">
        <v>0.26</v>
      </c>
      <c r="H1275">
        <v>0.35</v>
      </c>
      <c r="I1275" t="s">
        <v>12</v>
      </c>
      <c r="J1275" t="s">
        <v>70</v>
      </c>
      <c r="K1275">
        <f t="shared" si="19"/>
        <v>548.61</v>
      </c>
    </row>
    <row r="1276" spans="1:11">
      <c r="A1276">
        <v>1275</v>
      </c>
      <c r="B1276" s="1">
        <v>45397</v>
      </c>
      <c r="C1276" t="s">
        <v>20</v>
      </c>
      <c r="D1276" t="s">
        <v>15</v>
      </c>
      <c r="E1276">
        <v>746.63</v>
      </c>
      <c r="F1276">
        <v>4</v>
      </c>
      <c r="G1276">
        <v>0.09</v>
      </c>
      <c r="H1276">
        <v>0.33</v>
      </c>
      <c r="I1276" t="s">
        <v>16</v>
      </c>
      <c r="J1276" t="s">
        <v>199</v>
      </c>
      <c r="K1276">
        <f t="shared" si="19"/>
        <v>2986.52</v>
      </c>
    </row>
    <row r="1277" spans="1:11">
      <c r="A1277">
        <v>1276</v>
      </c>
      <c r="B1277" s="1">
        <v>45428</v>
      </c>
      <c r="C1277" t="s">
        <v>14</v>
      </c>
      <c r="D1277" t="s">
        <v>15</v>
      </c>
      <c r="E1277">
        <v>687.68</v>
      </c>
      <c r="F1277">
        <v>3</v>
      </c>
      <c r="G1277">
        <v>0.05</v>
      </c>
      <c r="H1277">
        <v>0.36</v>
      </c>
      <c r="I1277" t="s">
        <v>21</v>
      </c>
      <c r="J1277" t="s">
        <v>225</v>
      </c>
      <c r="K1277">
        <f t="shared" si="19"/>
        <v>2063.04</v>
      </c>
    </row>
    <row r="1278" spans="1:11">
      <c r="A1278">
        <v>1277</v>
      </c>
      <c r="B1278" s="1">
        <v>45476</v>
      </c>
      <c r="C1278" t="s">
        <v>31</v>
      </c>
      <c r="D1278" t="s">
        <v>11</v>
      </c>
      <c r="E1278">
        <v>945.57</v>
      </c>
      <c r="F1278">
        <v>4</v>
      </c>
      <c r="G1278">
        <v>0.02</v>
      </c>
      <c r="H1278">
        <v>0.18</v>
      </c>
      <c r="I1278" t="s">
        <v>21</v>
      </c>
      <c r="J1278" t="s">
        <v>196</v>
      </c>
      <c r="K1278">
        <f t="shared" si="19"/>
        <v>3782.28</v>
      </c>
    </row>
    <row r="1279" spans="1:11">
      <c r="A1279">
        <v>1278</v>
      </c>
      <c r="B1279" s="1">
        <v>45411</v>
      </c>
      <c r="C1279" t="s">
        <v>23</v>
      </c>
      <c r="D1279" t="s">
        <v>15</v>
      </c>
      <c r="E1279">
        <v>30.46</v>
      </c>
      <c r="F1279">
        <v>2</v>
      </c>
      <c r="G1279">
        <v>0.22</v>
      </c>
      <c r="H1279">
        <v>0.18</v>
      </c>
      <c r="I1279" t="s">
        <v>24</v>
      </c>
      <c r="J1279" t="s">
        <v>311</v>
      </c>
      <c r="K1279">
        <f t="shared" si="19"/>
        <v>60.92</v>
      </c>
    </row>
    <row r="1280" spans="1:11">
      <c r="A1280">
        <v>1279</v>
      </c>
      <c r="B1280" s="1">
        <v>45463</v>
      </c>
      <c r="C1280" t="s">
        <v>26</v>
      </c>
      <c r="D1280" t="s">
        <v>11</v>
      </c>
      <c r="E1280">
        <v>1192.26</v>
      </c>
      <c r="F1280">
        <v>5</v>
      </c>
      <c r="G1280">
        <v>0.09</v>
      </c>
      <c r="H1280">
        <v>0.24</v>
      </c>
      <c r="I1280" t="s">
        <v>24</v>
      </c>
      <c r="J1280" t="s">
        <v>145</v>
      </c>
      <c r="K1280">
        <f t="shared" si="19"/>
        <v>5961.3</v>
      </c>
    </row>
    <row r="1281" spans="1:11">
      <c r="A1281">
        <v>1280</v>
      </c>
      <c r="B1281" s="1">
        <v>45353</v>
      </c>
      <c r="C1281" t="s">
        <v>20</v>
      </c>
      <c r="D1281" t="s">
        <v>15</v>
      </c>
      <c r="E1281">
        <v>1349.77</v>
      </c>
      <c r="F1281">
        <v>3</v>
      </c>
      <c r="G1281">
        <v>0.2</v>
      </c>
      <c r="H1281">
        <v>0.22</v>
      </c>
      <c r="I1281" t="s">
        <v>21</v>
      </c>
      <c r="J1281" t="s">
        <v>109</v>
      </c>
      <c r="K1281">
        <f t="shared" si="19"/>
        <v>4049.31</v>
      </c>
    </row>
    <row r="1282" spans="1:11">
      <c r="A1282">
        <v>1281</v>
      </c>
      <c r="B1282" s="1">
        <v>45311</v>
      </c>
      <c r="C1282" t="s">
        <v>20</v>
      </c>
      <c r="D1282" t="s">
        <v>15</v>
      </c>
      <c r="E1282">
        <v>281.58999999999997</v>
      </c>
      <c r="F1282">
        <v>5</v>
      </c>
      <c r="G1282">
        <v>0.17</v>
      </c>
      <c r="H1282">
        <v>0.37</v>
      </c>
      <c r="I1282" t="s">
        <v>16</v>
      </c>
      <c r="J1282" t="s">
        <v>161</v>
      </c>
      <c r="K1282">
        <f t="shared" si="19"/>
        <v>1407.9499999999998</v>
      </c>
    </row>
    <row r="1283" spans="1:11">
      <c r="A1283">
        <v>1282</v>
      </c>
      <c r="B1283" s="1">
        <v>45644</v>
      </c>
      <c r="C1283" t="s">
        <v>10</v>
      </c>
      <c r="D1283" t="s">
        <v>11</v>
      </c>
      <c r="E1283">
        <v>1234.02</v>
      </c>
      <c r="F1283">
        <v>1</v>
      </c>
      <c r="G1283">
        <v>0.24</v>
      </c>
      <c r="H1283">
        <v>0.12</v>
      </c>
      <c r="I1283" t="s">
        <v>24</v>
      </c>
      <c r="J1283" t="s">
        <v>100</v>
      </c>
      <c r="K1283">
        <f t="shared" si="19"/>
        <v>1234.02</v>
      </c>
    </row>
    <row r="1284" spans="1:11">
      <c r="A1284">
        <v>1283</v>
      </c>
      <c r="B1284" s="1">
        <v>45360</v>
      </c>
      <c r="C1284" t="s">
        <v>14</v>
      </c>
      <c r="D1284" t="s">
        <v>15</v>
      </c>
      <c r="E1284">
        <v>1449.04</v>
      </c>
      <c r="F1284">
        <v>5</v>
      </c>
      <c r="G1284">
        <v>0.03</v>
      </c>
      <c r="H1284">
        <v>0.33</v>
      </c>
      <c r="I1284" t="s">
        <v>16</v>
      </c>
      <c r="J1284" t="s">
        <v>178</v>
      </c>
      <c r="K1284">
        <f t="shared" ref="K1284:K1347" si="20">E1284*F1284</f>
        <v>7245.2</v>
      </c>
    </row>
    <row r="1285" spans="1:11">
      <c r="A1285">
        <v>1284</v>
      </c>
      <c r="B1285" s="1">
        <v>45358</v>
      </c>
      <c r="C1285" t="s">
        <v>10</v>
      </c>
      <c r="D1285" t="s">
        <v>11</v>
      </c>
      <c r="E1285">
        <v>1466.72</v>
      </c>
      <c r="F1285">
        <v>1</v>
      </c>
      <c r="G1285">
        <v>0.02</v>
      </c>
      <c r="H1285">
        <v>0.32</v>
      </c>
      <c r="I1285" t="s">
        <v>21</v>
      </c>
      <c r="J1285" t="s">
        <v>172</v>
      </c>
      <c r="K1285">
        <f t="shared" si="20"/>
        <v>1466.72</v>
      </c>
    </row>
    <row r="1286" spans="1:11">
      <c r="A1286">
        <v>1285</v>
      </c>
      <c r="B1286" s="1">
        <v>45544</v>
      </c>
      <c r="C1286" t="s">
        <v>10</v>
      </c>
      <c r="D1286" t="s">
        <v>11</v>
      </c>
      <c r="E1286">
        <v>172.73</v>
      </c>
      <c r="F1286">
        <v>4</v>
      </c>
      <c r="G1286">
        <v>0.23</v>
      </c>
      <c r="H1286">
        <v>0.16</v>
      </c>
      <c r="I1286" t="s">
        <v>12</v>
      </c>
      <c r="J1286" t="s">
        <v>48</v>
      </c>
      <c r="K1286">
        <f t="shared" si="20"/>
        <v>690.92</v>
      </c>
    </row>
    <row r="1287" spans="1:11">
      <c r="A1287">
        <v>1286</v>
      </c>
      <c r="B1287" s="1">
        <v>45359</v>
      </c>
      <c r="C1287" t="s">
        <v>31</v>
      </c>
      <c r="D1287" t="s">
        <v>11</v>
      </c>
      <c r="E1287">
        <v>155.38999999999999</v>
      </c>
      <c r="F1287">
        <v>2</v>
      </c>
      <c r="G1287">
        <v>0.12</v>
      </c>
      <c r="H1287">
        <v>0.23</v>
      </c>
      <c r="I1287" t="s">
        <v>16</v>
      </c>
      <c r="J1287" t="s">
        <v>300</v>
      </c>
      <c r="K1287">
        <f t="shared" si="20"/>
        <v>310.77999999999997</v>
      </c>
    </row>
    <row r="1288" spans="1:11">
      <c r="A1288">
        <v>1287</v>
      </c>
      <c r="B1288" s="1">
        <v>45421</v>
      </c>
      <c r="C1288" t="s">
        <v>23</v>
      </c>
      <c r="D1288" t="s">
        <v>15</v>
      </c>
      <c r="E1288">
        <v>638.84</v>
      </c>
      <c r="F1288">
        <v>5</v>
      </c>
      <c r="G1288">
        <v>0.27</v>
      </c>
      <c r="H1288">
        <v>0.14000000000000001</v>
      </c>
      <c r="I1288" t="s">
        <v>21</v>
      </c>
      <c r="J1288" t="s">
        <v>306</v>
      </c>
      <c r="K1288">
        <f t="shared" si="20"/>
        <v>3194.2000000000003</v>
      </c>
    </row>
    <row r="1289" spans="1:11">
      <c r="A1289">
        <v>1288</v>
      </c>
      <c r="B1289" s="1">
        <v>45338</v>
      </c>
      <c r="C1289" t="s">
        <v>14</v>
      </c>
      <c r="D1289" t="s">
        <v>15</v>
      </c>
      <c r="E1289">
        <v>128.35</v>
      </c>
      <c r="F1289">
        <v>1</v>
      </c>
      <c r="G1289">
        <v>0.2</v>
      </c>
      <c r="H1289">
        <v>0.32</v>
      </c>
      <c r="I1289" t="s">
        <v>24</v>
      </c>
      <c r="J1289" t="s">
        <v>22</v>
      </c>
      <c r="K1289">
        <f t="shared" si="20"/>
        <v>128.35</v>
      </c>
    </row>
    <row r="1290" spans="1:11">
      <c r="A1290">
        <v>1289</v>
      </c>
      <c r="B1290" s="1">
        <v>45397</v>
      </c>
      <c r="C1290" t="s">
        <v>20</v>
      </c>
      <c r="D1290" t="s">
        <v>15</v>
      </c>
      <c r="E1290">
        <v>1394.93</v>
      </c>
      <c r="F1290">
        <v>2</v>
      </c>
      <c r="G1290">
        <v>0.09</v>
      </c>
      <c r="H1290">
        <v>0.24</v>
      </c>
      <c r="I1290" t="s">
        <v>24</v>
      </c>
      <c r="J1290" t="s">
        <v>215</v>
      </c>
      <c r="K1290">
        <f t="shared" si="20"/>
        <v>2789.86</v>
      </c>
    </row>
    <row r="1291" spans="1:11">
      <c r="A1291">
        <v>1290</v>
      </c>
      <c r="B1291" s="1">
        <v>45577</v>
      </c>
      <c r="C1291" t="s">
        <v>20</v>
      </c>
      <c r="D1291" t="s">
        <v>15</v>
      </c>
      <c r="E1291">
        <v>1070.1600000000001</v>
      </c>
      <c r="F1291">
        <v>3</v>
      </c>
      <c r="G1291">
        <v>0.11</v>
      </c>
      <c r="H1291">
        <v>0.33</v>
      </c>
      <c r="I1291" t="s">
        <v>16</v>
      </c>
      <c r="J1291" t="s">
        <v>293</v>
      </c>
      <c r="K1291">
        <f t="shared" si="20"/>
        <v>3210.4800000000005</v>
      </c>
    </row>
    <row r="1292" spans="1:11">
      <c r="A1292">
        <v>1291</v>
      </c>
      <c r="B1292" s="1">
        <v>45417</v>
      </c>
      <c r="C1292" t="s">
        <v>31</v>
      </c>
      <c r="D1292" t="s">
        <v>11</v>
      </c>
      <c r="E1292">
        <v>129.28</v>
      </c>
      <c r="F1292">
        <v>3</v>
      </c>
      <c r="G1292">
        <v>0.3</v>
      </c>
      <c r="H1292">
        <v>0.24</v>
      </c>
      <c r="I1292" t="s">
        <v>12</v>
      </c>
      <c r="J1292" t="s">
        <v>202</v>
      </c>
      <c r="K1292">
        <f t="shared" si="20"/>
        <v>387.84000000000003</v>
      </c>
    </row>
    <row r="1293" spans="1:11">
      <c r="A1293">
        <v>1292</v>
      </c>
      <c r="B1293" s="1">
        <v>45495</v>
      </c>
      <c r="C1293" t="s">
        <v>23</v>
      </c>
      <c r="D1293" t="s">
        <v>15</v>
      </c>
      <c r="E1293">
        <v>1291.93</v>
      </c>
      <c r="F1293">
        <v>3</v>
      </c>
      <c r="G1293">
        <v>0.12</v>
      </c>
      <c r="H1293">
        <v>0.37</v>
      </c>
      <c r="I1293" t="s">
        <v>21</v>
      </c>
      <c r="J1293" t="s">
        <v>69</v>
      </c>
      <c r="K1293">
        <f t="shared" si="20"/>
        <v>3875.79</v>
      </c>
    </row>
    <row r="1294" spans="1:11">
      <c r="A1294">
        <v>1293</v>
      </c>
      <c r="B1294" s="1">
        <v>45437</v>
      </c>
      <c r="C1294" t="s">
        <v>26</v>
      </c>
      <c r="D1294" t="s">
        <v>11</v>
      </c>
      <c r="E1294">
        <v>631.14</v>
      </c>
      <c r="F1294">
        <v>2</v>
      </c>
      <c r="G1294">
        <v>7.0000000000000007E-2</v>
      </c>
      <c r="H1294">
        <v>0.37</v>
      </c>
      <c r="I1294" t="s">
        <v>24</v>
      </c>
      <c r="J1294" t="s">
        <v>316</v>
      </c>
      <c r="K1294">
        <f t="shared" si="20"/>
        <v>1262.28</v>
      </c>
    </row>
    <row r="1295" spans="1:11">
      <c r="A1295">
        <v>1294</v>
      </c>
      <c r="B1295" s="1">
        <v>45478</v>
      </c>
      <c r="C1295" t="s">
        <v>31</v>
      </c>
      <c r="D1295" t="s">
        <v>11</v>
      </c>
      <c r="E1295">
        <v>237.86</v>
      </c>
      <c r="F1295">
        <v>4</v>
      </c>
      <c r="G1295">
        <v>0.01</v>
      </c>
      <c r="H1295">
        <v>0.36</v>
      </c>
      <c r="I1295" t="s">
        <v>21</v>
      </c>
      <c r="J1295" t="s">
        <v>252</v>
      </c>
      <c r="K1295">
        <f t="shared" si="20"/>
        <v>951.44</v>
      </c>
    </row>
    <row r="1296" spans="1:11">
      <c r="A1296">
        <v>1295</v>
      </c>
      <c r="B1296" s="1">
        <v>45555</v>
      </c>
      <c r="C1296" t="s">
        <v>10</v>
      </c>
      <c r="D1296" t="s">
        <v>11</v>
      </c>
      <c r="E1296">
        <v>688.27</v>
      </c>
      <c r="F1296">
        <v>3</v>
      </c>
      <c r="G1296">
        <v>0.22</v>
      </c>
      <c r="H1296">
        <v>0.2</v>
      </c>
      <c r="I1296" t="s">
        <v>21</v>
      </c>
      <c r="J1296" t="s">
        <v>307</v>
      </c>
      <c r="K1296">
        <f t="shared" si="20"/>
        <v>2064.81</v>
      </c>
    </row>
    <row r="1297" spans="1:11">
      <c r="A1297">
        <v>1296</v>
      </c>
      <c r="B1297" s="1">
        <v>45566</v>
      </c>
      <c r="C1297" t="s">
        <v>26</v>
      </c>
      <c r="D1297" t="s">
        <v>11</v>
      </c>
      <c r="E1297">
        <v>1325.91</v>
      </c>
      <c r="F1297">
        <v>1</v>
      </c>
      <c r="G1297">
        <v>0.06</v>
      </c>
      <c r="H1297">
        <v>0.32</v>
      </c>
      <c r="I1297" t="s">
        <v>16</v>
      </c>
      <c r="J1297" t="s">
        <v>87</v>
      </c>
      <c r="K1297">
        <f t="shared" si="20"/>
        <v>1325.91</v>
      </c>
    </row>
    <row r="1298" spans="1:11">
      <c r="A1298">
        <v>1297</v>
      </c>
      <c r="B1298" s="1">
        <v>45317</v>
      </c>
      <c r="C1298" t="s">
        <v>14</v>
      </c>
      <c r="D1298" t="s">
        <v>15</v>
      </c>
      <c r="E1298">
        <v>624.99</v>
      </c>
      <c r="F1298">
        <v>3</v>
      </c>
      <c r="G1298">
        <v>0</v>
      </c>
      <c r="H1298">
        <v>0.11</v>
      </c>
      <c r="I1298" t="s">
        <v>16</v>
      </c>
      <c r="J1298" t="s">
        <v>118</v>
      </c>
      <c r="K1298">
        <f t="shared" si="20"/>
        <v>1874.97</v>
      </c>
    </row>
    <row r="1299" spans="1:11">
      <c r="A1299">
        <v>1298</v>
      </c>
      <c r="B1299" s="1">
        <v>45458</v>
      </c>
      <c r="C1299" t="s">
        <v>20</v>
      </c>
      <c r="D1299" t="s">
        <v>15</v>
      </c>
      <c r="E1299">
        <v>667.06</v>
      </c>
      <c r="F1299">
        <v>3</v>
      </c>
      <c r="G1299">
        <v>0.16</v>
      </c>
      <c r="H1299">
        <v>0.1</v>
      </c>
      <c r="I1299" t="s">
        <v>12</v>
      </c>
      <c r="J1299" t="s">
        <v>51</v>
      </c>
      <c r="K1299">
        <f t="shared" si="20"/>
        <v>2001.1799999999998</v>
      </c>
    </row>
    <row r="1300" spans="1:11">
      <c r="A1300">
        <v>1299</v>
      </c>
      <c r="B1300" s="1">
        <v>45307</v>
      </c>
      <c r="C1300" t="s">
        <v>26</v>
      </c>
      <c r="D1300" t="s">
        <v>11</v>
      </c>
      <c r="E1300">
        <v>1125.97</v>
      </c>
      <c r="F1300">
        <v>1</v>
      </c>
      <c r="G1300">
        <v>0.13</v>
      </c>
      <c r="H1300">
        <v>0.32</v>
      </c>
      <c r="I1300" t="s">
        <v>16</v>
      </c>
      <c r="J1300" t="s">
        <v>260</v>
      </c>
      <c r="K1300">
        <f t="shared" si="20"/>
        <v>1125.97</v>
      </c>
    </row>
    <row r="1301" spans="1:11">
      <c r="A1301">
        <v>1300</v>
      </c>
      <c r="B1301" s="1">
        <v>45397</v>
      </c>
      <c r="C1301" t="s">
        <v>14</v>
      </c>
      <c r="D1301" t="s">
        <v>15</v>
      </c>
      <c r="E1301">
        <v>1224.3800000000001</v>
      </c>
      <c r="F1301">
        <v>2</v>
      </c>
      <c r="G1301">
        <v>0.05</v>
      </c>
      <c r="H1301">
        <v>0.21</v>
      </c>
      <c r="I1301" t="s">
        <v>12</v>
      </c>
      <c r="J1301" t="s">
        <v>88</v>
      </c>
      <c r="K1301">
        <f t="shared" si="20"/>
        <v>2448.7600000000002</v>
      </c>
    </row>
    <row r="1302" spans="1:11">
      <c r="A1302">
        <v>1301</v>
      </c>
      <c r="B1302" s="1">
        <v>45560</v>
      </c>
      <c r="C1302" t="s">
        <v>23</v>
      </c>
      <c r="D1302" t="s">
        <v>15</v>
      </c>
      <c r="E1302">
        <v>951.34</v>
      </c>
      <c r="F1302">
        <v>5</v>
      </c>
      <c r="G1302">
        <v>0.17</v>
      </c>
      <c r="H1302">
        <v>0.28000000000000003</v>
      </c>
      <c r="I1302" t="s">
        <v>12</v>
      </c>
      <c r="J1302" t="s">
        <v>86</v>
      </c>
      <c r="K1302">
        <f t="shared" si="20"/>
        <v>4756.7</v>
      </c>
    </row>
    <row r="1303" spans="1:11">
      <c r="A1303">
        <v>1302</v>
      </c>
      <c r="B1303" s="1">
        <v>45533</v>
      </c>
      <c r="C1303" t="s">
        <v>31</v>
      </c>
      <c r="D1303" t="s">
        <v>11</v>
      </c>
      <c r="E1303">
        <v>68.03</v>
      </c>
      <c r="F1303">
        <v>3</v>
      </c>
      <c r="G1303">
        <v>0.13</v>
      </c>
      <c r="H1303">
        <v>0.25</v>
      </c>
      <c r="I1303" t="s">
        <v>21</v>
      </c>
      <c r="J1303" t="s">
        <v>135</v>
      </c>
      <c r="K1303">
        <f t="shared" si="20"/>
        <v>204.09</v>
      </c>
    </row>
    <row r="1304" spans="1:11">
      <c r="A1304">
        <v>1303</v>
      </c>
      <c r="B1304" s="1">
        <v>45445</v>
      </c>
      <c r="C1304" t="s">
        <v>23</v>
      </c>
      <c r="D1304" t="s">
        <v>15</v>
      </c>
      <c r="E1304">
        <v>107.2</v>
      </c>
      <c r="F1304">
        <v>2</v>
      </c>
      <c r="G1304">
        <v>0.11</v>
      </c>
      <c r="H1304">
        <v>0.4</v>
      </c>
      <c r="I1304" t="s">
        <v>12</v>
      </c>
      <c r="J1304" t="s">
        <v>125</v>
      </c>
      <c r="K1304">
        <f t="shared" si="20"/>
        <v>214.4</v>
      </c>
    </row>
    <row r="1305" spans="1:11">
      <c r="A1305">
        <v>1304</v>
      </c>
      <c r="B1305" s="1">
        <v>45337</v>
      </c>
      <c r="C1305" t="s">
        <v>31</v>
      </c>
      <c r="D1305" t="s">
        <v>11</v>
      </c>
      <c r="E1305">
        <v>676.22</v>
      </c>
      <c r="F1305">
        <v>1</v>
      </c>
      <c r="G1305">
        <v>0.17</v>
      </c>
      <c r="H1305">
        <v>0.38</v>
      </c>
      <c r="I1305" t="s">
        <v>24</v>
      </c>
      <c r="J1305" t="s">
        <v>40</v>
      </c>
      <c r="K1305">
        <f t="shared" si="20"/>
        <v>676.22</v>
      </c>
    </row>
    <row r="1306" spans="1:11">
      <c r="A1306">
        <v>1305</v>
      </c>
      <c r="B1306" s="1">
        <v>45363</v>
      </c>
      <c r="C1306" t="s">
        <v>20</v>
      </c>
      <c r="D1306" t="s">
        <v>15</v>
      </c>
      <c r="E1306">
        <v>1359.07</v>
      </c>
      <c r="F1306">
        <v>2</v>
      </c>
      <c r="G1306">
        <v>0.22</v>
      </c>
      <c r="H1306">
        <v>0.28000000000000003</v>
      </c>
      <c r="I1306" t="s">
        <v>12</v>
      </c>
      <c r="J1306" t="s">
        <v>258</v>
      </c>
      <c r="K1306">
        <f t="shared" si="20"/>
        <v>2718.14</v>
      </c>
    </row>
    <row r="1307" spans="1:11">
      <c r="A1307">
        <v>1306</v>
      </c>
      <c r="B1307" s="1">
        <v>45361</v>
      </c>
      <c r="C1307" t="s">
        <v>26</v>
      </c>
      <c r="D1307" t="s">
        <v>11</v>
      </c>
      <c r="E1307">
        <v>937.65</v>
      </c>
      <c r="F1307">
        <v>1</v>
      </c>
      <c r="G1307">
        <v>0.14000000000000001</v>
      </c>
      <c r="H1307">
        <v>0.17</v>
      </c>
      <c r="I1307" t="s">
        <v>16</v>
      </c>
      <c r="J1307" t="s">
        <v>139</v>
      </c>
      <c r="K1307">
        <f t="shared" si="20"/>
        <v>937.65</v>
      </c>
    </row>
    <row r="1308" spans="1:11">
      <c r="A1308">
        <v>1307</v>
      </c>
      <c r="B1308" s="1">
        <v>45569</v>
      </c>
      <c r="C1308" t="s">
        <v>10</v>
      </c>
      <c r="D1308" t="s">
        <v>11</v>
      </c>
      <c r="E1308">
        <v>1251.79</v>
      </c>
      <c r="F1308">
        <v>2</v>
      </c>
      <c r="G1308">
        <v>0.16</v>
      </c>
      <c r="H1308">
        <v>0.28999999999999998</v>
      </c>
      <c r="I1308" t="s">
        <v>24</v>
      </c>
      <c r="J1308" t="s">
        <v>92</v>
      </c>
      <c r="K1308">
        <f t="shared" si="20"/>
        <v>2503.58</v>
      </c>
    </row>
    <row r="1309" spans="1:11">
      <c r="A1309">
        <v>1308</v>
      </c>
      <c r="B1309" s="1">
        <v>45474</v>
      </c>
      <c r="C1309" t="s">
        <v>23</v>
      </c>
      <c r="D1309" t="s">
        <v>15</v>
      </c>
      <c r="E1309">
        <v>1350.53</v>
      </c>
      <c r="F1309">
        <v>2</v>
      </c>
      <c r="G1309">
        <v>0.28000000000000003</v>
      </c>
      <c r="H1309">
        <v>0.24</v>
      </c>
      <c r="I1309" t="s">
        <v>16</v>
      </c>
      <c r="J1309" t="s">
        <v>98</v>
      </c>
      <c r="K1309">
        <f t="shared" si="20"/>
        <v>2701.06</v>
      </c>
    </row>
    <row r="1310" spans="1:11">
      <c r="A1310">
        <v>1309</v>
      </c>
      <c r="B1310" s="1">
        <v>45342</v>
      </c>
      <c r="C1310" t="s">
        <v>10</v>
      </c>
      <c r="D1310" t="s">
        <v>11</v>
      </c>
      <c r="E1310">
        <v>350.19</v>
      </c>
      <c r="F1310">
        <v>4</v>
      </c>
      <c r="G1310">
        <v>0.12</v>
      </c>
      <c r="H1310">
        <v>0.38</v>
      </c>
      <c r="I1310" t="s">
        <v>24</v>
      </c>
      <c r="J1310" t="s">
        <v>306</v>
      </c>
      <c r="K1310">
        <f t="shared" si="20"/>
        <v>1400.76</v>
      </c>
    </row>
    <row r="1311" spans="1:11">
      <c r="A1311">
        <v>1310</v>
      </c>
      <c r="B1311" s="1">
        <v>45411</v>
      </c>
      <c r="C1311" t="s">
        <v>14</v>
      </c>
      <c r="D1311" t="s">
        <v>15</v>
      </c>
      <c r="E1311">
        <v>1400.59</v>
      </c>
      <c r="F1311">
        <v>3</v>
      </c>
      <c r="G1311">
        <v>0.16</v>
      </c>
      <c r="H1311">
        <v>0.13</v>
      </c>
      <c r="I1311" t="s">
        <v>12</v>
      </c>
      <c r="J1311" t="s">
        <v>184</v>
      </c>
      <c r="K1311">
        <f t="shared" si="20"/>
        <v>4201.7699999999995</v>
      </c>
    </row>
    <row r="1312" spans="1:11">
      <c r="A1312">
        <v>1311</v>
      </c>
      <c r="B1312" s="1">
        <v>45620</v>
      </c>
      <c r="C1312" t="s">
        <v>20</v>
      </c>
      <c r="D1312" t="s">
        <v>15</v>
      </c>
      <c r="E1312">
        <v>1286.3699999999999</v>
      </c>
      <c r="F1312">
        <v>1</v>
      </c>
      <c r="G1312">
        <v>0.21</v>
      </c>
      <c r="H1312">
        <v>0.23</v>
      </c>
      <c r="I1312" t="s">
        <v>21</v>
      </c>
      <c r="J1312" t="s">
        <v>206</v>
      </c>
      <c r="K1312">
        <f t="shared" si="20"/>
        <v>1286.3699999999999</v>
      </c>
    </row>
    <row r="1313" spans="1:11">
      <c r="A1313">
        <v>1312</v>
      </c>
      <c r="B1313" s="1">
        <v>45420</v>
      </c>
      <c r="C1313" t="s">
        <v>10</v>
      </c>
      <c r="D1313" t="s">
        <v>11</v>
      </c>
      <c r="E1313">
        <v>282.81</v>
      </c>
      <c r="F1313">
        <v>5</v>
      </c>
      <c r="G1313">
        <v>0.28999999999999998</v>
      </c>
      <c r="H1313">
        <v>0.19</v>
      </c>
      <c r="I1313" t="s">
        <v>21</v>
      </c>
      <c r="J1313" t="s">
        <v>103</v>
      </c>
      <c r="K1313">
        <f t="shared" si="20"/>
        <v>1414.05</v>
      </c>
    </row>
    <row r="1314" spans="1:11">
      <c r="A1314">
        <v>1313</v>
      </c>
      <c r="B1314" s="1">
        <v>45421</v>
      </c>
      <c r="C1314" t="s">
        <v>20</v>
      </c>
      <c r="D1314" t="s">
        <v>15</v>
      </c>
      <c r="E1314">
        <v>1018.29</v>
      </c>
      <c r="F1314">
        <v>5</v>
      </c>
      <c r="G1314">
        <v>0.27</v>
      </c>
      <c r="H1314">
        <v>0.12</v>
      </c>
      <c r="I1314" t="s">
        <v>12</v>
      </c>
      <c r="J1314" t="s">
        <v>273</v>
      </c>
      <c r="K1314">
        <f t="shared" si="20"/>
        <v>5091.45</v>
      </c>
    </row>
    <row r="1315" spans="1:11">
      <c r="A1315">
        <v>1314</v>
      </c>
      <c r="B1315" s="1">
        <v>45605</v>
      </c>
      <c r="C1315" t="s">
        <v>31</v>
      </c>
      <c r="D1315" t="s">
        <v>11</v>
      </c>
      <c r="E1315">
        <v>61.39</v>
      </c>
      <c r="F1315">
        <v>3</v>
      </c>
      <c r="G1315">
        <v>0.16</v>
      </c>
      <c r="H1315">
        <v>0.4</v>
      </c>
      <c r="I1315" t="s">
        <v>21</v>
      </c>
      <c r="J1315" t="s">
        <v>178</v>
      </c>
      <c r="K1315">
        <f t="shared" si="20"/>
        <v>184.17000000000002</v>
      </c>
    </row>
    <row r="1316" spans="1:11">
      <c r="A1316">
        <v>1315</v>
      </c>
      <c r="B1316" s="1">
        <v>45642</v>
      </c>
      <c r="C1316" t="s">
        <v>14</v>
      </c>
      <c r="D1316" t="s">
        <v>15</v>
      </c>
      <c r="E1316">
        <v>337.82</v>
      </c>
      <c r="F1316">
        <v>3</v>
      </c>
      <c r="G1316">
        <v>0.19</v>
      </c>
      <c r="H1316">
        <v>0.11</v>
      </c>
      <c r="I1316" t="s">
        <v>16</v>
      </c>
      <c r="J1316" t="s">
        <v>242</v>
      </c>
      <c r="K1316">
        <f t="shared" si="20"/>
        <v>1013.46</v>
      </c>
    </row>
    <row r="1317" spans="1:11">
      <c r="A1317">
        <v>1316</v>
      </c>
      <c r="B1317" s="1">
        <v>45451</v>
      </c>
      <c r="C1317" t="s">
        <v>31</v>
      </c>
      <c r="D1317" t="s">
        <v>11</v>
      </c>
      <c r="E1317">
        <v>370.63</v>
      </c>
      <c r="F1317">
        <v>3</v>
      </c>
      <c r="G1317">
        <v>0.11</v>
      </c>
      <c r="H1317">
        <v>0.13</v>
      </c>
      <c r="I1317" t="s">
        <v>21</v>
      </c>
      <c r="J1317" t="s">
        <v>161</v>
      </c>
      <c r="K1317">
        <f t="shared" si="20"/>
        <v>1111.8899999999999</v>
      </c>
    </row>
    <row r="1318" spans="1:11">
      <c r="A1318">
        <v>1317</v>
      </c>
      <c r="B1318" s="1">
        <v>45322</v>
      </c>
      <c r="C1318" t="s">
        <v>23</v>
      </c>
      <c r="D1318" t="s">
        <v>15</v>
      </c>
      <c r="E1318">
        <v>528.82000000000005</v>
      </c>
      <c r="F1318">
        <v>2</v>
      </c>
      <c r="G1318">
        <v>0.08</v>
      </c>
      <c r="H1318">
        <v>0.4</v>
      </c>
      <c r="I1318" t="s">
        <v>12</v>
      </c>
      <c r="J1318" t="s">
        <v>248</v>
      </c>
      <c r="K1318">
        <f t="shared" si="20"/>
        <v>1057.6400000000001</v>
      </c>
    </row>
    <row r="1319" spans="1:11">
      <c r="A1319">
        <v>1318</v>
      </c>
      <c r="B1319" s="1">
        <v>45547</v>
      </c>
      <c r="C1319" t="s">
        <v>14</v>
      </c>
      <c r="D1319" t="s">
        <v>15</v>
      </c>
      <c r="E1319">
        <v>1242.52</v>
      </c>
      <c r="F1319">
        <v>2</v>
      </c>
      <c r="G1319">
        <v>0.28999999999999998</v>
      </c>
      <c r="H1319">
        <v>0.3</v>
      </c>
      <c r="I1319" t="s">
        <v>21</v>
      </c>
      <c r="J1319" t="s">
        <v>25</v>
      </c>
      <c r="K1319">
        <f t="shared" si="20"/>
        <v>2485.04</v>
      </c>
    </row>
    <row r="1320" spans="1:11">
      <c r="A1320">
        <v>1319</v>
      </c>
      <c r="B1320" s="1">
        <v>45585</v>
      </c>
      <c r="C1320" t="s">
        <v>10</v>
      </c>
      <c r="D1320" t="s">
        <v>11</v>
      </c>
      <c r="E1320">
        <v>934.03</v>
      </c>
      <c r="F1320">
        <v>1</v>
      </c>
      <c r="G1320">
        <v>0.04</v>
      </c>
      <c r="H1320">
        <v>0.28999999999999998</v>
      </c>
      <c r="I1320" t="s">
        <v>24</v>
      </c>
      <c r="J1320" t="s">
        <v>238</v>
      </c>
      <c r="K1320">
        <f t="shared" si="20"/>
        <v>934.03</v>
      </c>
    </row>
    <row r="1321" spans="1:11">
      <c r="A1321">
        <v>1320</v>
      </c>
      <c r="B1321" s="1">
        <v>45489</v>
      </c>
      <c r="C1321" t="s">
        <v>20</v>
      </c>
      <c r="D1321" t="s">
        <v>15</v>
      </c>
      <c r="E1321">
        <v>1160.3499999999999</v>
      </c>
      <c r="F1321">
        <v>1</v>
      </c>
      <c r="G1321">
        <v>0.03</v>
      </c>
      <c r="H1321">
        <v>0.35</v>
      </c>
      <c r="I1321" t="s">
        <v>21</v>
      </c>
      <c r="J1321" t="s">
        <v>305</v>
      </c>
      <c r="K1321">
        <f t="shared" si="20"/>
        <v>1160.3499999999999</v>
      </c>
    </row>
    <row r="1322" spans="1:11">
      <c r="A1322">
        <v>1321</v>
      </c>
      <c r="B1322" s="1">
        <v>45418</v>
      </c>
      <c r="C1322" t="s">
        <v>20</v>
      </c>
      <c r="D1322" t="s">
        <v>15</v>
      </c>
      <c r="E1322">
        <v>792.34</v>
      </c>
      <c r="F1322">
        <v>4</v>
      </c>
      <c r="G1322">
        <v>0.15</v>
      </c>
      <c r="H1322">
        <v>0.37</v>
      </c>
      <c r="I1322" t="s">
        <v>16</v>
      </c>
      <c r="J1322" t="s">
        <v>57</v>
      </c>
      <c r="K1322">
        <f t="shared" si="20"/>
        <v>3169.36</v>
      </c>
    </row>
    <row r="1323" spans="1:11">
      <c r="A1323">
        <v>1322</v>
      </c>
      <c r="B1323" s="1">
        <v>45495</v>
      </c>
      <c r="C1323" t="s">
        <v>23</v>
      </c>
      <c r="D1323" t="s">
        <v>15</v>
      </c>
      <c r="E1323">
        <v>1041.54</v>
      </c>
      <c r="F1323">
        <v>2</v>
      </c>
      <c r="G1323">
        <v>0.28000000000000003</v>
      </c>
      <c r="H1323">
        <v>0.35</v>
      </c>
      <c r="I1323" t="s">
        <v>24</v>
      </c>
      <c r="J1323" t="s">
        <v>209</v>
      </c>
      <c r="K1323">
        <f t="shared" si="20"/>
        <v>2083.08</v>
      </c>
    </row>
    <row r="1324" spans="1:11">
      <c r="A1324">
        <v>1323</v>
      </c>
      <c r="B1324" s="1">
        <v>45390</v>
      </c>
      <c r="C1324" t="s">
        <v>10</v>
      </c>
      <c r="D1324" t="s">
        <v>11</v>
      </c>
      <c r="E1324">
        <v>345.23</v>
      </c>
      <c r="F1324">
        <v>5</v>
      </c>
      <c r="G1324">
        <v>0.09</v>
      </c>
      <c r="H1324">
        <v>0.39</v>
      </c>
      <c r="I1324" t="s">
        <v>21</v>
      </c>
      <c r="J1324" t="s">
        <v>246</v>
      </c>
      <c r="K1324">
        <f t="shared" si="20"/>
        <v>1726.15</v>
      </c>
    </row>
    <row r="1325" spans="1:11">
      <c r="A1325">
        <v>1324</v>
      </c>
      <c r="B1325" s="1">
        <v>45385</v>
      </c>
      <c r="C1325" t="s">
        <v>31</v>
      </c>
      <c r="D1325" t="s">
        <v>11</v>
      </c>
      <c r="E1325">
        <v>861.98</v>
      </c>
      <c r="F1325">
        <v>2</v>
      </c>
      <c r="G1325">
        <v>0.16</v>
      </c>
      <c r="H1325">
        <v>0.27</v>
      </c>
      <c r="I1325" t="s">
        <v>24</v>
      </c>
      <c r="J1325" t="s">
        <v>211</v>
      </c>
      <c r="K1325">
        <f t="shared" si="20"/>
        <v>1723.96</v>
      </c>
    </row>
    <row r="1326" spans="1:11">
      <c r="A1326">
        <v>1325</v>
      </c>
      <c r="B1326" s="1">
        <v>45634</v>
      </c>
      <c r="C1326" t="s">
        <v>14</v>
      </c>
      <c r="D1326" t="s">
        <v>15</v>
      </c>
      <c r="E1326">
        <v>614.5</v>
      </c>
      <c r="F1326">
        <v>3</v>
      </c>
      <c r="G1326">
        <v>0.28999999999999998</v>
      </c>
      <c r="H1326">
        <v>0.11</v>
      </c>
      <c r="I1326" t="s">
        <v>12</v>
      </c>
      <c r="J1326" t="s">
        <v>157</v>
      </c>
      <c r="K1326">
        <f t="shared" si="20"/>
        <v>1843.5</v>
      </c>
    </row>
    <row r="1327" spans="1:11">
      <c r="A1327">
        <v>1326</v>
      </c>
      <c r="B1327" s="1">
        <v>45392</v>
      </c>
      <c r="C1327" t="s">
        <v>23</v>
      </c>
      <c r="D1327" t="s">
        <v>15</v>
      </c>
      <c r="E1327">
        <v>405.22</v>
      </c>
      <c r="F1327">
        <v>1</v>
      </c>
      <c r="G1327">
        <v>0</v>
      </c>
      <c r="H1327">
        <v>0.11</v>
      </c>
      <c r="I1327" t="s">
        <v>12</v>
      </c>
      <c r="J1327" t="s">
        <v>170</v>
      </c>
      <c r="K1327">
        <f t="shared" si="20"/>
        <v>405.22</v>
      </c>
    </row>
    <row r="1328" spans="1:11">
      <c r="A1328">
        <v>1327</v>
      </c>
      <c r="B1328" s="1">
        <v>45311</v>
      </c>
      <c r="C1328" t="s">
        <v>20</v>
      </c>
      <c r="D1328" t="s">
        <v>15</v>
      </c>
      <c r="E1328">
        <v>1238.42</v>
      </c>
      <c r="F1328">
        <v>5</v>
      </c>
      <c r="G1328">
        <v>0.28999999999999998</v>
      </c>
      <c r="H1328">
        <v>0.37</v>
      </c>
      <c r="I1328" t="s">
        <v>21</v>
      </c>
      <c r="J1328" t="s">
        <v>169</v>
      </c>
      <c r="K1328">
        <f t="shared" si="20"/>
        <v>6192.1</v>
      </c>
    </row>
    <row r="1329" spans="1:11">
      <c r="A1329">
        <v>1328</v>
      </c>
      <c r="B1329" s="1">
        <v>45317</v>
      </c>
      <c r="C1329" t="s">
        <v>31</v>
      </c>
      <c r="D1329" t="s">
        <v>11</v>
      </c>
      <c r="E1329">
        <v>760.98</v>
      </c>
      <c r="F1329">
        <v>4</v>
      </c>
      <c r="G1329">
        <v>0.21</v>
      </c>
      <c r="H1329">
        <v>0.25</v>
      </c>
      <c r="I1329" t="s">
        <v>12</v>
      </c>
      <c r="J1329" t="s">
        <v>139</v>
      </c>
      <c r="K1329">
        <f t="shared" si="20"/>
        <v>3043.92</v>
      </c>
    </row>
    <row r="1330" spans="1:11">
      <c r="A1330">
        <v>1329</v>
      </c>
      <c r="B1330" s="1">
        <v>45552</v>
      </c>
      <c r="C1330" t="s">
        <v>23</v>
      </c>
      <c r="D1330" t="s">
        <v>15</v>
      </c>
      <c r="E1330">
        <v>740.8</v>
      </c>
      <c r="F1330">
        <v>1</v>
      </c>
      <c r="G1330">
        <v>0.25</v>
      </c>
      <c r="H1330">
        <v>0.26</v>
      </c>
      <c r="I1330" t="s">
        <v>16</v>
      </c>
      <c r="J1330" t="s">
        <v>214</v>
      </c>
      <c r="K1330">
        <f t="shared" si="20"/>
        <v>740.8</v>
      </c>
    </row>
    <row r="1331" spans="1:11">
      <c r="A1331">
        <v>1330</v>
      </c>
      <c r="B1331" s="1">
        <v>45582</v>
      </c>
      <c r="C1331" t="s">
        <v>31</v>
      </c>
      <c r="D1331" t="s">
        <v>11</v>
      </c>
      <c r="E1331">
        <v>1311.78</v>
      </c>
      <c r="F1331">
        <v>4</v>
      </c>
      <c r="G1331">
        <v>0.18</v>
      </c>
      <c r="H1331">
        <v>0.13</v>
      </c>
      <c r="I1331" t="s">
        <v>12</v>
      </c>
      <c r="J1331" t="s">
        <v>119</v>
      </c>
      <c r="K1331">
        <f t="shared" si="20"/>
        <v>5247.12</v>
      </c>
    </row>
    <row r="1332" spans="1:11">
      <c r="A1332">
        <v>1331</v>
      </c>
      <c r="B1332" s="1">
        <v>45476</v>
      </c>
      <c r="C1332" t="s">
        <v>31</v>
      </c>
      <c r="D1332" t="s">
        <v>11</v>
      </c>
      <c r="E1332">
        <v>789.59</v>
      </c>
      <c r="F1332">
        <v>5</v>
      </c>
      <c r="G1332">
        <v>0.18</v>
      </c>
      <c r="H1332">
        <v>0.18</v>
      </c>
      <c r="I1332" t="s">
        <v>21</v>
      </c>
      <c r="J1332" t="s">
        <v>60</v>
      </c>
      <c r="K1332">
        <f t="shared" si="20"/>
        <v>3947.9500000000003</v>
      </c>
    </row>
    <row r="1333" spans="1:11">
      <c r="A1333">
        <v>1332</v>
      </c>
      <c r="B1333" s="1">
        <v>45360</v>
      </c>
      <c r="C1333" t="s">
        <v>31</v>
      </c>
      <c r="D1333" t="s">
        <v>11</v>
      </c>
      <c r="E1333">
        <v>1210.45</v>
      </c>
      <c r="F1333">
        <v>3</v>
      </c>
      <c r="G1333">
        <v>0.19</v>
      </c>
      <c r="H1333">
        <v>0.38</v>
      </c>
      <c r="I1333" t="s">
        <v>16</v>
      </c>
      <c r="J1333" t="s">
        <v>108</v>
      </c>
      <c r="K1333">
        <f t="shared" si="20"/>
        <v>3631.3500000000004</v>
      </c>
    </row>
    <row r="1334" spans="1:11">
      <c r="A1334">
        <v>1333</v>
      </c>
      <c r="B1334" s="1">
        <v>45307</v>
      </c>
      <c r="C1334" t="s">
        <v>26</v>
      </c>
      <c r="D1334" t="s">
        <v>11</v>
      </c>
      <c r="E1334">
        <v>696.06</v>
      </c>
      <c r="F1334">
        <v>1</v>
      </c>
      <c r="G1334">
        <v>0.04</v>
      </c>
      <c r="H1334">
        <v>0.26</v>
      </c>
      <c r="I1334" t="s">
        <v>12</v>
      </c>
      <c r="J1334" t="s">
        <v>159</v>
      </c>
      <c r="K1334">
        <f t="shared" si="20"/>
        <v>696.06</v>
      </c>
    </row>
    <row r="1335" spans="1:11">
      <c r="A1335">
        <v>1334</v>
      </c>
      <c r="B1335" s="1">
        <v>45380</v>
      </c>
      <c r="C1335" t="s">
        <v>26</v>
      </c>
      <c r="D1335" t="s">
        <v>11</v>
      </c>
      <c r="E1335">
        <v>156.97</v>
      </c>
      <c r="F1335">
        <v>4</v>
      </c>
      <c r="G1335">
        <v>0.09</v>
      </c>
      <c r="H1335">
        <v>0.1</v>
      </c>
      <c r="I1335" t="s">
        <v>21</v>
      </c>
      <c r="J1335" t="s">
        <v>153</v>
      </c>
      <c r="K1335">
        <f t="shared" si="20"/>
        <v>627.88</v>
      </c>
    </row>
    <row r="1336" spans="1:11">
      <c r="A1336">
        <v>1335</v>
      </c>
      <c r="B1336" s="1">
        <v>45469</v>
      </c>
      <c r="C1336" t="s">
        <v>26</v>
      </c>
      <c r="D1336" t="s">
        <v>11</v>
      </c>
      <c r="E1336">
        <v>171.38</v>
      </c>
      <c r="F1336">
        <v>4</v>
      </c>
      <c r="G1336">
        <v>0.04</v>
      </c>
      <c r="H1336">
        <v>0.32</v>
      </c>
      <c r="I1336" t="s">
        <v>24</v>
      </c>
      <c r="J1336" t="s">
        <v>141</v>
      </c>
      <c r="K1336">
        <f t="shared" si="20"/>
        <v>685.52</v>
      </c>
    </row>
    <row r="1337" spans="1:11">
      <c r="A1337">
        <v>1336</v>
      </c>
      <c r="B1337" s="1">
        <v>45610</v>
      </c>
      <c r="C1337" t="s">
        <v>26</v>
      </c>
      <c r="D1337" t="s">
        <v>11</v>
      </c>
      <c r="E1337">
        <v>944.13</v>
      </c>
      <c r="F1337">
        <v>3</v>
      </c>
      <c r="G1337">
        <v>0.27</v>
      </c>
      <c r="H1337">
        <v>0.31</v>
      </c>
      <c r="I1337" t="s">
        <v>24</v>
      </c>
      <c r="J1337" t="s">
        <v>205</v>
      </c>
      <c r="K1337">
        <f t="shared" si="20"/>
        <v>2832.39</v>
      </c>
    </row>
    <row r="1338" spans="1:11">
      <c r="A1338">
        <v>1337</v>
      </c>
      <c r="B1338" s="1">
        <v>45437</v>
      </c>
      <c r="C1338" t="s">
        <v>23</v>
      </c>
      <c r="D1338" t="s">
        <v>15</v>
      </c>
      <c r="E1338">
        <v>429.39</v>
      </c>
      <c r="F1338">
        <v>1</v>
      </c>
      <c r="G1338">
        <v>0.23</v>
      </c>
      <c r="H1338">
        <v>0.34</v>
      </c>
      <c r="I1338" t="s">
        <v>21</v>
      </c>
      <c r="J1338" t="s">
        <v>284</v>
      </c>
      <c r="K1338">
        <f t="shared" si="20"/>
        <v>429.39</v>
      </c>
    </row>
    <row r="1339" spans="1:11">
      <c r="A1339">
        <v>1338</v>
      </c>
      <c r="B1339" s="1">
        <v>45518</v>
      </c>
      <c r="C1339" t="s">
        <v>26</v>
      </c>
      <c r="D1339" t="s">
        <v>11</v>
      </c>
      <c r="E1339">
        <v>1303.23</v>
      </c>
      <c r="F1339">
        <v>2</v>
      </c>
      <c r="G1339">
        <v>0.01</v>
      </c>
      <c r="H1339">
        <v>0.19</v>
      </c>
      <c r="I1339" t="s">
        <v>24</v>
      </c>
      <c r="J1339" t="s">
        <v>232</v>
      </c>
      <c r="K1339">
        <f t="shared" si="20"/>
        <v>2606.46</v>
      </c>
    </row>
    <row r="1340" spans="1:11">
      <c r="A1340">
        <v>1339</v>
      </c>
      <c r="B1340" s="1">
        <v>45370</v>
      </c>
      <c r="C1340" t="s">
        <v>26</v>
      </c>
      <c r="D1340" t="s">
        <v>11</v>
      </c>
      <c r="E1340">
        <v>262.27</v>
      </c>
      <c r="F1340">
        <v>2</v>
      </c>
      <c r="G1340">
        <v>0.14000000000000001</v>
      </c>
      <c r="H1340">
        <v>0.36</v>
      </c>
      <c r="I1340" t="s">
        <v>24</v>
      </c>
      <c r="J1340" t="s">
        <v>48</v>
      </c>
      <c r="K1340">
        <f t="shared" si="20"/>
        <v>524.54</v>
      </c>
    </row>
    <row r="1341" spans="1:11">
      <c r="A1341">
        <v>1340</v>
      </c>
      <c r="B1341" s="1">
        <v>45477</v>
      </c>
      <c r="C1341" t="s">
        <v>26</v>
      </c>
      <c r="D1341" t="s">
        <v>11</v>
      </c>
      <c r="E1341">
        <v>771.56</v>
      </c>
      <c r="F1341">
        <v>1</v>
      </c>
      <c r="G1341">
        <v>0.06</v>
      </c>
      <c r="H1341">
        <v>0.24</v>
      </c>
      <c r="I1341" t="s">
        <v>21</v>
      </c>
      <c r="J1341" t="s">
        <v>133</v>
      </c>
      <c r="K1341">
        <f t="shared" si="20"/>
        <v>771.56</v>
      </c>
    </row>
    <row r="1342" spans="1:11">
      <c r="A1342">
        <v>1341</v>
      </c>
      <c r="B1342" s="1">
        <v>45368</v>
      </c>
      <c r="C1342" t="s">
        <v>26</v>
      </c>
      <c r="D1342" t="s">
        <v>11</v>
      </c>
      <c r="E1342">
        <v>815.14</v>
      </c>
      <c r="F1342">
        <v>4</v>
      </c>
      <c r="G1342">
        <v>0.18</v>
      </c>
      <c r="H1342">
        <v>0.34</v>
      </c>
      <c r="I1342" t="s">
        <v>16</v>
      </c>
      <c r="J1342" t="s">
        <v>133</v>
      </c>
      <c r="K1342">
        <f t="shared" si="20"/>
        <v>3260.56</v>
      </c>
    </row>
    <row r="1343" spans="1:11">
      <c r="A1343">
        <v>1342</v>
      </c>
      <c r="B1343" s="1">
        <v>45480</v>
      </c>
      <c r="C1343" t="s">
        <v>10</v>
      </c>
      <c r="D1343" t="s">
        <v>11</v>
      </c>
      <c r="E1343">
        <v>1213.06</v>
      </c>
      <c r="F1343">
        <v>1</v>
      </c>
      <c r="G1343">
        <v>0.25</v>
      </c>
      <c r="H1343">
        <v>0.22</v>
      </c>
      <c r="I1343" t="s">
        <v>24</v>
      </c>
      <c r="J1343" t="s">
        <v>167</v>
      </c>
      <c r="K1343">
        <f t="shared" si="20"/>
        <v>1213.06</v>
      </c>
    </row>
    <row r="1344" spans="1:11">
      <c r="A1344">
        <v>1343</v>
      </c>
      <c r="B1344" s="1">
        <v>45392</v>
      </c>
      <c r="C1344" t="s">
        <v>26</v>
      </c>
      <c r="D1344" t="s">
        <v>11</v>
      </c>
      <c r="E1344">
        <v>1095.94</v>
      </c>
      <c r="F1344">
        <v>3</v>
      </c>
      <c r="G1344">
        <v>7.0000000000000007E-2</v>
      </c>
      <c r="H1344">
        <v>0.34</v>
      </c>
      <c r="I1344" t="s">
        <v>21</v>
      </c>
      <c r="J1344" t="s">
        <v>46</v>
      </c>
      <c r="K1344">
        <f t="shared" si="20"/>
        <v>3287.82</v>
      </c>
    </row>
    <row r="1345" spans="1:11">
      <c r="A1345">
        <v>1344</v>
      </c>
      <c r="B1345" s="1">
        <v>45632</v>
      </c>
      <c r="C1345" t="s">
        <v>26</v>
      </c>
      <c r="D1345" t="s">
        <v>11</v>
      </c>
      <c r="E1345">
        <v>803.45</v>
      </c>
      <c r="F1345">
        <v>1</v>
      </c>
      <c r="G1345">
        <v>0.03</v>
      </c>
      <c r="H1345">
        <v>0.17</v>
      </c>
      <c r="I1345" t="s">
        <v>21</v>
      </c>
      <c r="J1345" t="s">
        <v>204</v>
      </c>
      <c r="K1345">
        <f t="shared" si="20"/>
        <v>803.45</v>
      </c>
    </row>
    <row r="1346" spans="1:11">
      <c r="A1346">
        <v>1345</v>
      </c>
      <c r="B1346" s="1">
        <v>45371</v>
      </c>
      <c r="C1346" t="s">
        <v>10</v>
      </c>
      <c r="D1346" t="s">
        <v>11</v>
      </c>
      <c r="E1346">
        <v>181.74</v>
      </c>
      <c r="F1346">
        <v>2</v>
      </c>
      <c r="G1346">
        <v>0.05</v>
      </c>
      <c r="H1346">
        <v>0.23</v>
      </c>
      <c r="I1346" t="s">
        <v>16</v>
      </c>
      <c r="J1346" t="s">
        <v>245</v>
      </c>
      <c r="K1346">
        <f t="shared" si="20"/>
        <v>363.48</v>
      </c>
    </row>
    <row r="1347" spans="1:11">
      <c r="A1347">
        <v>1346</v>
      </c>
      <c r="B1347" s="1">
        <v>45303</v>
      </c>
      <c r="C1347" t="s">
        <v>20</v>
      </c>
      <c r="D1347" t="s">
        <v>15</v>
      </c>
      <c r="E1347">
        <v>1042.1400000000001</v>
      </c>
      <c r="F1347">
        <v>3</v>
      </c>
      <c r="G1347">
        <v>0.16</v>
      </c>
      <c r="H1347">
        <v>0.27</v>
      </c>
      <c r="I1347" t="s">
        <v>21</v>
      </c>
      <c r="J1347" t="s">
        <v>313</v>
      </c>
      <c r="K1347">
        <f t="shared" si="20"/>
        <v>3126.42</v>
      </c>
    </row>
    <row r="1348" spans="1:11">
      <c r="A1348">
        <v>1347</v>
      </c>
      <c r="B1348" s="1">
        <v>45564</v>
      </c>
      <c r="C1348" t="s">
        <v>20</v>
      </c>
      <c r="D1348" t="s">
        <v>15</v>
      </c>
      <c r="E1348">
        <v>465.28</v>
      </c>
      <c r="F1348">
        <v>5</v>
      </c>
      <c r="G1348">
        <v>0.28999999999999998</v>
      </c>
      <c r="H1348">
        <v>0.21</v>
      </c>
      <c r="I1348" t="s">
        <v>16</v>
      </c>
      <c r="J1348" t="s">
        <v>90</v>
      </c>
      <c r="K1348">
        <f t="shared" ref="K1348:K1411" si="21">E1348*F1348</f>
        <v>2326.3999999999996</v>
      </c>
    </row>
    <row r="1349" spans="1:11">
      <c r="A1349">
        <v>1348</v>
      </c>
      <c r="B1349" s="1">
        <v>45383</v>
      </c>
      <c r="C1349" t="s">
        <v>14</v>
      </c>
      <c r="D1349" t="s">
        <v>15</v>
      </c>
      <c r="E1349">
        <v>297.04000000000002</v>
      </c>
      <c r="F1349">
        <v>3</v>
      </c>
      <c r="G1349">
        <v>0.23</v>
      </c>
      <c r="H1349">
        <v>0.16</v>
      </c>
      <c r="I1349" t="s">
        <v>12</v>
      </c>
      <c r="J1349" t="s">
        <v>218</v>
      </c>
      <c r="K1349">
        <f t="shared" si="21"/>
        <v>891.12000000000012</v>
      </c>
    </row>
    <row r="1350" spans="1:11">
      <c r="A1350">
        <v>1349</v>
      </c>
      <c r="B1350" s="1">
        <v>45346</v>
      </c>
      <c r="C1350" t="s">
        <v>14</v>
      </c>
      <c r="D1350" t="s">
        <v>15</v>
      </c>
      <c r="E1350">
        <v>1004.45</v>
      </c>
      <c r="F1350">
        <v>3</v>
      </c>
      <c r="G1350">
        <v>0.15</v>
      </c>
      <c r="H1350">
        <v>0.19</v>
      </c>
      <c r="I1350" t="s">
        <v>24</v>
      </c>
      <c r="J1350" t="s">
        <v>310</v>
      </c>
      <c r="K1350">
        <f t="shared" si="21"/>
        <v>3013.3500000000004</v>
      </c>
    </row>
    <row r="1351" spans="1:11">
      <c r="A1351">
        <v>1350</v>
      </c>
      <c r="B1351" s="1">
        <v>45317</v>
      </c>
      <c r="C1351" t="s">
        <v>23</v>
      </c>
      <c r="D1351" t="s">
        <v>15</v>
      </c>
      <c r="E1351">
        <v>856.51</v>
      </c>
      <c r="F1351">
        <v>5</v>
      </c>
      <c r="G1351">
        <v>0.22</v>
      </c>
      <c r="H1351">
        <v>0.12</v>
      </c>
      <c r="I1351" t="s">
        <v>16</v>
      </c>
      <c r="J1351" t="s">
        <v>210</v>
      </c>
      <c r="K1351">
        <f t="shared" si="21"/>
        <v>4282.55</v>
      </c>
    </row>
    <row r="1352" spans="1:11">
      <c r="A1352">
        <v>1351</v>
      </c>
      <c r="B1352" s="1">
        <v>45413</v>
      </c>
      <c r="C1352" t="s">
        <v>23</v>
      </c>
      <c r="D1352" t="s">
        <v>15</v>
      </c>
      <c r="E1352">
        <v>1231.99</v>
      </c>
      <c r="F1352">
        <v>2</v>
      </c>
      <c r="G1352">
        <v>0.26</v>
      </c>
      <c r="H1352">
        <v>0.21</v>
      </c>
      <c r="I1352" t="s">
        <v>24</v>
      </c>
      <c r="J1352" t="s">
        <v>313</v>
      </c>
      <c r="K1352">
        <f t="shared" si="21"/>
        <v>2463.98</v>
      </c>
    </row>
    <row r="1353" spans="1:11">
      <c r="A1353">
        <v>1352</v>
      </c>
      <c r="B1353" s="1">
        <v>45564</v>
      </c>
      <c r="C1353" t="s">
        <v>14</v>
      </c>
      <c r="D1353" t="s">
        <v>15</v>
      </c>
      <c r="E1353">
        <v>657.6</v>
      </c>
      <c r="F1353">
        <v>3</v>
      </c>
      <c r="G1353">
        <v>0.27</v>
      </c>
      <c r="H1353">
        <v>0.14000000000000001</v>
      </c>
      <c r="I1353" t="s">
        <v>21</v>
      </c>
      <c r="J1353" t="s">
        <v>214</v>
      </c>
      <c r="K1353">
        <f t="shared" si="21"/>
        <v>1972.8000000000002</v>
      </c>
    </row>
    <row r="1354" spans="1:11">
      <c r="A1354">
        <v>1353</v>
      </c>
      <c r="B1354" s="1">
        <v>45400</v>
      </c>
      <c r="C1354" t="s">
        <v>23</v>
      </c>
      <c r="D1354" t="s">
        <v>15</v>
      </c>
      <c r="E1354">
        <v>790.83</v>
      </c>
      <c r="F1354">
        <v>4</v>
      </c>
      <c r="G1354">
        <v>0.02</v>
      </c>
      <c r="H1354">
        <v>0.16</v>
      </c>
      <c r="I1354" t="s">
        <v>21</v>
      </c>
      <c r="J1354" t="s">
        <v>75</v>
      </c>
      <c r="K1354">
        <f t="shared" si="21"/>
        <v>3163.32</v>
      </c>
    </row>
    <row r="1355" spans="1:11">
      <c r="A1355">
        <v>1354</v>
      </c>
      <c r="B1355" s="1">
        <v>45629</v>
      </c>
      <c r="C1355" t="s">
        <v>26</v>
      </c>
      <c r="D1355" t="s">
        <v>11</v>
      </c>
      <c r="E1355">
        <v>885.33</v>
      </c>
      <c r="F1355">
        <v>3</v>
      </c>
      <c r="G1355">
        <v>0.11</v>
      </c>
      <c r="H1355">
        <v>0.38</v>
      </c>
      <c r="I1355" t="s">
        <v>12</v>
      </c>
      <c r="J1355" t="s">
        <v>93</v>
      </c>
      <c r="K1355">
        <f t="shared" si="21"/>
        <v>2655.9900000000002</v>
      </c>
    </row>
    <row r="1356" spans="1:11">
      <c r="A1356">
        <v>1355</v>
      </c>
      <c r="B1356" s="1">
        <v>45611</v>
      </c>
      <c r="C1356" t="s">
        <v>20</v>
      </c>
      <c r="D1356" t="s">
        <v>15</v>
      </c>
      <c r="E1356">
        <v>212.66</v>
      </c>
      <c r="F1356">
        <v>5</v>
      </c>
      <c r="G1356">
        <v>0.21</v>
      </c>
      <c r="H1356">
        <v>0.3</v>
      </c>
      <c r="I1356" t="s">
        <v>21</v>
      </c>
      <c r="J1356" t="s">
        <v>117</v>
      </c>
      <c r="K1356">
        <f t="shared" si="21"/>
        <v>1063.3</v>
      </c>
    </row>
    <row r="1357" spans="1:11">
      <c r="A1357">
        <v>1356</v>
      </c>
      <c r="B1357" s="1">
        <v>45639</v>
      </c>
      <c r="C1357" t="s">
        <v>20</v>
      </c>
      <c r="D1357" t="s">
        <v>15</v>
      </c>
      <c r="E1357">
        <v>81.12</v>
      </c>
      <c r="F1357">
        <v>2</v>
      </c>
      <c r="G1357">
        <v>0.16</v>
      </c>
      <c r="H1357">
        <v>0.16</v>
      </c>
      <c r="I1357" t="s">
        <v>12</v>
      </c>
      <c r="J1357" t="s">
        <v>79</v>
      </c>
      <c r="K1357">
        <f t="shared" si="21"/>
        <v>162.24</v>
      </c>
    </row>
    <row r="1358" spans="1:11">
      <c r="A1358">
        <v>1357</v>
      </c>
      <c r="B1358" s="1">
        <v>45391</v>
      </c>
      <c r="C1358" t="s">
        <v>20</v>
      </c>
      <c r="D1358" t="s">
        <v>15</v>
      </c>
      <c r="E1358">
        <v>30.78</v>
      </c>
      <c r="F1358">
        <v>3</v>
      </c>
      <c r="G1358">
        <v>0.24</v>
      </c>
      <c r="H1358">
        <v>0.34</v>
      </c>
      <c r="I1358" t="s">
        <v>16</v>
      </c>
      <c r="J1358" t="s">
        <v>48</v>
      </c>
      <c r="K1358">
        <f t="shared" si="21"/>
        <v>92.34</v>
      </c>
    </row>
    <row r="1359" spans="1:11">
      <c r="A1359">
        <v>1358</v>
      </c>
      <c r="B1359" s="1">
        <v>45392</v>
      </c>
      <c r="C1359" t="s">
        <v>14</v>
      </c>
      <c r="D1359" t="s">
        <v>15</v>
      </c>
      <c r="E1359">
        <v>1098.1199999999999</v>
      </c>
      <c r="F1359">
        <v>3</v>
      </c>
      <c r="G1359">
        <v>0.05</v>
      </c>
      <c r="H1359">
        <v>0.19</v>
      </c>
      <c r="I1359" t="s">
        <v>12</v>
      </c>
      <c r="J1359" t="s">
        <v>219</v>
      </c>
      <c r="K1359">
        <f t="shared" si="21"/>
        <v>3294.3599999999997</v>
      </c>
    </row>
    <row r="1360" spans="1:11">
      <c r="A1360">
        <v>1359</v>
      </c>
      <c r="B1360" s="1">
        <v>45421</v>
      </c>
      <c r="C1360" t="s">
        <v>23</v>
      </c>
      <c r="D1360" t="s">
        <v>15</v>
      </c>
      <c r="E1360">
        <v>321.05</v>
      </c>
      <c r="F1360">
        <v>5</v>
      </c>
      <c r="G1360">
        <v>0.16</v>
      </c>
      <c r="H1360">
        <v>0.12</v>
      </c>
      <c r="I1360" t="s">
        <v>21</v>
      </c>
      <c r="J1360" t="s">
        <v>244</v>
      </c>
      <c r="K1360">
        <f t="shared" si="21"/>
        <v>1605.25</v>
      </c>
    </row>
    <row r="1361" spans="1:11">
      <c r="A1361">
        <v>1360</v>
      </c>
      <c r="B1361" s="1">
        <v>45570</v>
      </c>
      <c r="C1361" t="s">
        <v>26</v>
      </c>
      <c r="D1361" t="s">
        <v>11</v>
      </c>
      <c r="E1361">
        <v>940.32</v>
      </c>
      <c r="F1361">
        <v>4</v>
      </c>
      <c r="G1361">
        <v>0.12</v>
      </c>
      <c r="H1361">
        <v>0.38</v>
      </c>
      <c r="I1361" t="s">
        <v>24</v>
      </c>
      <c r="J1361" t="s">
        <v>317</v>
      </c>
      <c r="K1361">
        <f t="shared" si="21"/>
        <v>3761.28</v>
      </c>
    </row>
    <row r="1362" spans="1:11">
      <c r="A1362">
        <v>1361</v>
      </c>
      <c r="B1362" s="1">
        <v>45414</v>
      </c>
      <c r="C1362" t="s">
        <v>23</v>
      </c>
      <c r="D1362" t="s">
        <v>15</v>
      </c>
      <c r="E1362">
        <v>1277.96</v>
      </c>
      <c r="F1362">
        <v>3</v>
      </c>
      <c r="G1362">
        <v>0.14000000000000001</v>
      </c>
      <c r="H1362">
        <v>0.21</v>
      </c>
      <c r="I1362" t="s">
        <v>12</v>
      </c>
      <c r="J1362" t="s">
        <v>306</v>
      </c>
      <c r="K1362">
        <f t="shared" si="21"/>
        <v>3833.88</v>
      </c>
    </row>
    <row r="1363" spans="1:11">
      <c r="A1363">
        <v>1362</v>
      </c>
      <c r="B1363" s="1">
        <v>45341</v>
      </c>
      <c r="C1363" t="s">
        <v>14</v>
      </c>
      <c r="D1363" t="s">
        <v>15</v>
      </c>
      <c r="E1363">
        <v>1117.06</v>
      </c>
      <c r="F1363">
        <v>3</v>
      </c>
      <c r="G1363">
        <v>0.23</v>
      </c>
      <c r="H1363">
        <v>0.15</v>
      </c>
      <c r="I1363" t="s">
        <v>16</v>
      </c>
      <c r="J1363" t="s">
        <v>231</v>
      </c>
      <c r="K1363">
        <f t="shared" si="21"/>
        <v>3351.18</v>
      </c>
    </row>
    <row r="1364" spans="1:11">
      <c r="A1364">
        <v>1363</v>
      </c>
      <c r="B1364" s="1">
        <v>45482</v>
      </c>
      <c r="C1364" t="s">
        <v>31</v>
      </c>
      <c r="D1364" t="s">
        <v>11</v>
      </c>
      <c r="E1364">
        <v>65.52</v>
      </c>
      <c r="F1364">
        <v>2</v>
      </c>
      <c r="G1364">
        <v>0.19</v>
      </c>
      <c r="H1364">
        <v>0.38</v>
      </c>
      <c r="I1364" t="s">
        <v>21</v>
      </c>
      <c r="J1364" t="s">
        <v>147</v>
      </c>
      <c r="K1364">
        <f t="shared" si="21"/>
        <v>131.04</v>
      </c>
    </row>
    <row r="1365" spans="1:11">
      <c r="A1365">
        <v>1364</v>
      </c>
      <c r="B1365" s="1">
        <v>45366</v>
      </c>
      <c r="C1365" t="s">
        <v>14</v>
      </c>
      <c r="D1365" t="s">
        <v>15</v>
      </c>
      <c r="E1365">
        <v>1017.15</v>
      </c>
      <c r="F1365">
        <v>3</v>
      </c>
      <c r="G1365">
        <v>0.02</v>
      </c>
      <c r="H1365">
        <v>0.12</v>
      </c>
      <c r="I1365" t="s">
        <v>24</v>
      </c>
      <c r="J1365" t="s">
        <v>25</v>
      </c>
      <c r="K1365">
        <f t="shared" si="21"/>
        <v>3051.45</v>
      </c>
    </row>
    <row r="1366" spans="1:11">
      <c r="A1366">
        <v>1365</v>
      </c>
      <c r="B1366" s="1">
        <v>45339</v>
      </c>
      <c r="C1366" t="s">
        <v>23</v>
      </c>
      <c r="D1366" t="s">
        <v>15</v>
      </c>
      <c r="E1366">
        <v>72.89</v>
      </c>
      <c r="F1366">
        <v>5</v>
      </c>
      <c r="G1366">
        <v>0.22</v>
      </c>
      <c r="H1366">
        <v>0.4</v>
      </c>
      <c r="I1366" t="s">
        <v>12</v>
      </c>
      <c r="J1366" t="s">
        <v>113</v>
      </c>
      <c r="K1366">
        <f t="shared" si="21"/>
        <v>364.45</v>
      </c>
    </row>
    <row r="1367" spans="1:11">
      <c r="A1367">
        <v>1366</v>
      </c>
      <c r="B1367" s="1">
        <v>45442</v>
      </c>
      <c r="C1367" t="s">
        <v>20</v>
      </c>
      <c r="D1367" t="s">
        <v>15</v>
      </c>
      <c r="E1367">
        <v>1258.22</v>
      </c>
      <c r="F1367">
        <v>4</v>
      </c>
      <c r="G1367">
        <v>0.28000000000000003</v>
      </c>
      <c r="H1367">
        <v>0.1</v>
      </c>
      <c r="I1367" t="s">
        <v>16</v>
      </c>
      <c r="J1367" t="s">
        <v>97</v>
      </c>
      <c r="K1367">
        <f t="shared" si="21"/>
        <v>5032.88</v>
      </c>
    </row>
    <row r="1368" spans="1:11">
      <c r="A1368">
        <v>1367</v>
      </c>
      <c r="B1368" s="1">
        <v>45412</v>
      </c>
      <c r="C1368" t="s">
        <v>10</v>
      </c>
      <c r="D1368" t="s">
        <v>11</v>
      </c>
      <c r="E1368">
        <v>574.15</v>
      </c>
      <c r="F1368">
        <v>4</v>
      </c>
      <c r="G1368">
        <v>0.02</v>
      </c>
      <c r="H1368">
        <v>0.24</v>
      </c>
      <c r="I1368" t="s">
        <v>24</v>
      </c>
      <c r="J1368" t="s">
        <v>74</v>
      </c>
      <c r="K1368">
        <f t="shared" si="21"/>
        <v>2296.6</v>
      </c>
    </row>
    <row r="1369" spans="1:11">
      <c r="A1369">
        <v>1368</v>
      </c>
      <c r="B1369" s="1">
        <v>45534</v>
      </c>
      <c r="C1369" t="s">
        <v>14</v>
      </c>
      <c r="D1369" t="s">
        <v>15</v>
      </c>
      <c r="E1369">
        <v>1480.19</v>
      </c>
      <c r="F1369">
        <v>5</v>
      </c>
      <c r="G1369">
        <v>0.19</v>
      </c>
      <c r="H1369">
        <v>0.19</v>
      </c>
      <c r="I1369" t="s">
        <v>21</v>
      </c>
      <c r="J1369" t="s">
        <v>109</v>
      </c>
      <c r="K1369">
        <f t="shared" si="21"/>
        <v>7400.9500000000007</v>
      </c>
    </row>
    <row r="1370" spans="1:11">
      <c r="A1370">
        <v>1369</v>
      </c>
      <c r="B1370" s="1">
        <v>45505</v>
      </c>
      <c r="C1370" t="s">
        <v>14</v>
      </c>
      <c r="D1370" t="s">
        <v>15</v>
      </c>
      <c r="E1370">
        <v>437.03</v>
      </c>
      <c r="F1370">
        <v>1</v>
      </c>
      <c r="G1370">
        <v>0.25</v>
      </c>
      <c r="H1370">
        <v>0.25</v>
      </c>
      <c r="I1370" t="s">
        <v>16</v>
      </c>
      <c r="J1370" t="s">
        <v>57</v>
      </c>
      <c r="K1370">
        <f t="shared" si="21"/>
        <v>437.03</v>
      </c>
    </row>
    <row r="1371" spans="1:11">
      <c r="A1371">
        <v>1370</v>
      </c>
      <c r="B1371" s="1">
        <v>45549</v>
      </c>
      <c r="C1371" t="s">
        <v>10</v>
      </c>
      <c r="D1371" t="s">
        <v>11</v>
      </c>
      <c r="E1371">
        <v>39.770000000000003</v>
      </c>
      <c r="F1371">
        <v>4</v>
      </c>
      <c r="G1371">
        <v>0.05</v>
      </c>
      <c r="H1371">
        <v>0.16</v>
      </c>
      <c r="I1371" t="s">
        <v>12</v>
      </c>
      <c r="J1371" t="s">
        <v>168</v>
      </c>
      <c r="K1371">
        <f t="shared" si="21"/>
        <v>159.08000000000001</v>
      </c>
    </row>
    <row r="1372" spans="1:11">
      <c r="A1372">
        <v>1371</v>
      </c>
      <c r="B1372" s="1">
        <v>45447</v>
      </c>
      <c r="C1372" t="s">
        <v>14</v>
      </c>
      <c r="D1372" t="s">
        <v>15</v>
      </c>
      <c r="E1372">
        <v>1091.51</v>
      </c>
      <c r="F1372">
        <v>5</v>
      </c>
      <c r="G1372">
        <v>0.06</v>
      </c>
      <c r="H1372">
        <v>0.13</v>
      </c>
      <c r="I1372" t="s">
        <v>24</v>
      </c>
      <c r="J1372" t="s">
        <v>255</v>
      </c>
      <c r="K1372">
        <f t="shared" si="21"/>
        <v>5457.55</v>
      </c>
    </row>
    <row r="1373" spans="1:11">
      <c r="A1373">
        <v>1372</v>
      </c>
      <c r="B1373" s="1">
        <v>45635</v>
      </c>
      <c r="C1373" t="s">
        <v>10</v>
      </c>
      <c r="D1373" t="s">
        <v>11</v>
      </c>
      <c r="E1373">
        <v>599.54</v>
      </c>
      <c r="F1373">
        <v>1</v>
      </c>
      <c r="G1373">
        <v>0</v>
      </c>
      <c r="H1373">
        <v>0.21</v>
      </c>
      <c r="I1373" t="s">
        <v>16</v>
      </c>
      <c r="J1373" t="s">
        <v>39</v>
      </c>
      <c r="K1373">
        <f t="shared" si="21"/>
        <v>599.54</v>
      </c>
    </row>
    <row r="1374" spans="1:11">
      <c r="A1374">
        <v>1373</v>
      </c>
      <c r="B1374" s="1">
        <v>45649</v>
      </c>
      <c r="C1374" t="s">
        <v>20</v>
      </c>
      <c r="D1374" t="s">
        <v>15</v>
      </c>
      <c r="E1374">
        <v>225.05</v>
      </c>
      <c r="F1374">
        <v>2</v>
      </c>
      <c r="G1374">
        <v>0.03</v>
      </c>
      <c r="H1374">
        <v>0.13</v>
      </c>
      <c r="I1374" t="s">
        <v>12</v>
      </c>
      <c r="J1374" t="s">
        <v>150</v>
      </c>
      <c r="K1374">
        <f t="shared" si="21"/>
        <v>450.1</v>
      </c>
    </row>
    <row r="1375" spans="1:11">
      <c r="A1375">
        <v>1374</v>
      </c>
      <c r="B1375" s="1">
        <v>45565</v>
      </c>
      <c r="C1375" t="s">
        <v>31</v>
      </c>
      <c r="D1375" t="s">
        <v>11</v>
      </c>
      <c r="E1375">
        <v>1179.55</v>
      </c>
      <c r="F1375">
        <v>3</v>
      </c>
      <c r="G1375">
        <v>0.19</v>
      </c>
      <c r="H1375">
        <v>0.14000000000000001</v>
      </c>
      <c r="I1375" t="s">
        <v>24</v>
      </c>
      <c r="J1375" t="s">
        <v>35</v>
      </c>
      <c r="K1375">
        <f t="shared" si="21"/>
        <v>3538.6499999999996</v>
      </c>
    </row>
    <row r="1376" spans="1:11">
      <c r="A1376">
        <v>1375</v>
      </c>
      <c r="B1376" s="1">
        <v>45490</v>
      </c>
      <c r="C1376" t="s">
        <v>31</v>
      </c>
      <c r="D1376" t="s">
        <v>11</v>
      </c>
      <c r="E1376">
        <v>1267.24</v>
      </c>
      <c r="F1376">
        <v>1</v>
      </c>
      <c r="G1376">
        <v>0.28999999999999998</v>
      </c>
      <c r="H1376">
        <v>0.28000000000000003</v>
      </c>
      <c r="I1376" t="s">
        <v>16</v>
      </c>
      <c r="J1376" t="s">
        <v>87</v>
      </c>
      <c r="K1376">
        <f t="shared" si="21"/>
        <v>1267.24</v>
      </c>
    </row>
    <row r="1377" spans="1:11">
      <c r="A1377">
        <v>1376</v>
      </c>
      <c r="B1377" s="1">
        <v>45407</v>
      </c>
      <c r="C1377" t="s">
        <v>20</v>
      </c>
      <c r="D1377" t="s">
        <v>15</v>
      </c>
      <c r="E1377">
        <v>618.73</v>
      </c>
      <c r="F1377">
        <v>2</v>
      </c>
      <c r="G1377">
        <v>0.16</v>
      </c>
      <c r="H1377">
        <v>0.18</v>
      </c>
      <c r="I1377" t="s">
        <v>24</v>
      </c>
      <c r="J1377" t="s">
        <v>105</v>
      </c>
      <c r="K1377">
        <f t="shared" si="21"/>
        <v>1237.46</v>
      </c>
    </row>
    <row r="1378" spans="1:11">
      <c r="A1378">
        <v>1377</v>
      </c>
      <c r="B1378" s="1">
        <v>45511</v>
      </c>
      <c r="C1378" t="s">
        <v>20</v>
      </c>
      <c r="D1378" t="s">
        <v>15</v>
      </c>
      <c r="E1378">
        <v>1423.09</v>
      </c>
      <c r="F1378">
        <v>4</v>
      </c>
      <c r="G1378">
        <v>0.15</v>
      </c>
      <c r="H1378">
        <v>0.19</v>
      </c>
      <c r="I1378" t="s">
        <v>12</v>
      </c>
      <c r="J1378" t="s">
        <v>192</v>
      </c>
      <c r="K1378">
        <f t="shared" si="21"/>
        <v>5692.36</v>
      </c>
    </row>
    <row r="1379" spans="1:11">
      <c r="A1379">
        <v>1378</v>
      </c>
      <c r="B1379" s="1">
        <v>45391</v>
      </c>
      <c r="C1379" t="s">
        <v>20</v>
      </c>
      <c r="D1379" t="s">
        <v>15</v>
      </c>
      <c r="E1379">
        <v>100.56</v>
      </c>
      <c r="F1379">
        <v>2</v>
      </c>
      <c r="G1379">
        <v>0.27</v>
      </c>
      <c r="H1379">
        <v>0.31</v>
      </c>
      <c r="I1379" t="s">
        <v>16</v>
      </c>
      <c r="J1379" t="s">
        <v>70</v>
      </c>
      <c r="K1379">
        <f t="shared" si="21"/>
        <v>201.12</v>
      </c>
    </row>
    <row r="1380" spans="1:11">
      <c r="A1380">
        <v>1379</v>
      </c>
      <c r="B1380" s="1">
        <v>45354</v>
      </c>
      <c r="C1380" t="s">
        <v>23</v>
      </c>
      <c r="D1380" t="s">
        <v>15</v>
      </c>
      <c r="E1380">
        <v>1164.94</v>
      </c>
      <c r="F1380">
        <v>1</v>
      </c>
      <c r="G1380">
        <v>0.08</v>
      </c>
      <c r="H1380">
        <v>0.26</v>
      </c>
      <c r="I1380" t="s">
        <v>24</v>
      </c>
      <c r="J1380" t="s">
        <v>294</v>
      </c>
      <c r="K1380">
        <f t="shared" si="21"/>
        <v>1164.94</v>
      </c>
    </row>
    <row r="1381" spans="1:11">
      <c r="A1381">
        <v>1380</v>
      </c>
      <c r="B1381" s="1">
        <v>45383</v>
      </c>
      <c r="C1381" t="s">
        <v>20</v>
      </c>
      <c r="D1381" t="s">
        <v>15</v>
      </c>
      <c r="E1381">
        <v>575.70000000000005</v>
      </c>
      <c r="F1381">
        <v>1</v>
      </c>
      <c r="G1381">
        <v>0.23</v>
      </c>
      <c r="H1381">
        <v>0.21</v>
      </c>
      <c r="I1381" t="s">
        <v>21</v>
      </c>
      <c r="J1381" t="s">
        <v>218</v>
      </c>
      <c r="K1381">
        <f t="shared" si="21"/>
        <v>575.70000000000005</v>
      </c>
    </row>
    <row r="1382" spans="1:11">
      <c r="A1382">
        <v>1381</v>
      </c>
      <c r="B1382" s="1">
        <v>45423</v>
      </c>
      <c r="C1382" t="s">
        <v>10</v>
      </c>
      <c r="D1382" t="s">
        <v>11</v>
      </c>
      <c r="E1382">
        <v>1218.82</v>
      </c>
      <c r="F1382">
        <v>4</v>
      </c>
      <c r="G1382">
        <v>0.01</v>
      </c>
      <c r="H1382">
        <v>0.15</v>
      </c>
      <c r="I1382" t="s">
        <v>24</v>
      </c>
      <c r="J1382" t="s">
        <v>225</v>
      </c>
      <c r="K1382">
        <f t="shared" si="21"/>
        <v>4875.28</v>
      </c>
    </row>
    <row r="1383" spans="1:11">
      <c r="A1383">
        <v>1382</v>
      </c>
      <c r="B1383" s="1">
        <v>45447</v>
      </c>
      <c r="C1383" t="s">
        <v>20</v>
      </c>
      <c r="D1383" t="s">
        <v>15</v>
      </c>
      <c r="E1383">
        <v>128.85</v>
      </c>
      <c r="F1383">
        <v>4</v>
      </c>
      <c r="G1383">
        <v>0.12</v>
      </c>
      <c r="H1383">
        <v>0.27</v>
      </c>
      <c r="I1383" t="s">
        <v>24</v>
      </c>
      <c r="J1383" t="s">
        <v>103</v>
      </c>
      <c r="K1383">
        <f t="shared" si="21"/>
        <v>515.4</v>
      </c>
    </row>
    <row r="1384" spans="1:11">
      <c r="A1384">
        <v>1383</v>
      </c>
      <c r="B1384" s="1">
        <v>45374</v>
      </c>
      <c r="C1384" t="s">
        <v>26</v>
      </c>
      <c r="D1384" t="s">
        <v>11</v>
      </c>
      <c r="E1384">
        <v>30.84</v>
      </c>
      <c r="F1384">
        <v>4</v>
      </c>
      <c r="G1384">
        <v>0.05</v>
      </c>
      <c r="H1384">
        <v>0.21</v>
      </c>
      <c r="I1384" t="s">
        <v>21</v>
      </c>
      <c r="J1384" t="s">
        <v>45</v>
      </c>
      <c r="K1384">
        <f t="shared" si="21"/>
        <v>123.36</v>
      </c>
    </row>
    <row r="1385" spans="1:11">
      <c r="A1385">
        <v>1384</v>
      </c>
      <c r="B1385" s="1">
        <v>45480</v>
      </c>
      <c r="C1385" t="s">
        <v>14</v>
      </c>
      <c r="D1385" t="s">
        <v>15</v>
      </c>
      <c r="E1385">
        <v>975.21</v>
      </c>
      <c r="F1385">
        <v>3</v>
      </c>
      <c r="G1385">
        <v>0.13</v>
      </c>
      <c r="H1385">
        <v>0.22</v>
      </c>
      <c r="I1385" t="s">
        <v>21</v>
      </c>
      <c r="J1385" t="s">
        <v>276</v>
      </c>
      <c r="K1385">
        <f t="shared" si="21"/>
        <v>2925.63</v>
      </c>
    </row>
    <row r="1386" spans="1:11">
      <c r="A1386">
        <v>1385</v>
      </c>
      <c r="B1386" s="1">
        <v>45595</v>
      </c>
      <c r="C1386" t="s">
        <v>20</v>
      </c>
      <c r="D1386" t="s">
        <v>15</v>
      </c>
      <c r="E1386">
        <v>342.88</v>
      </c>
      <c r="F1386">
        <v>2</v>
      </c>
      <c r="G1386">
        <v>0.16</v>
      </c>
      <c r="H1386">
        <v>0.32</v>
      </c>
      <c r="I1386" t="s">
        <v>21</v>
      </c>
      <c r="J1386" t="s">
        <v>124</v>
      </c>
      <c r="K1386">
        <f t="shared" si="21"/>
        <v>685.76</v>
      </c>
    </row>
    <row r="1387" spans="1:11">
      <c r="A1387">
        <v>1386</v>
      </c>
      <c r="B1387" s="1">
        <v>45369</v>
      </c>
      <c r="C1387" t="s">
        <v>20</v>
      </c>
      <c r="D1387" t="s">
        <v>15</v>
      </c>
      <c r="E1387">
        <v>637.35</v>
      </c>
      <c r="F1387">
        <v>1</v>
      </c>
      <c r="G1387">
        <v>0.05</v>
      </c>
      <c r="H1387">
        <v>0.34</v>
      </c>
      <c r="I1387" t="s">
        <v>24</v>
      </c>
      <c r="J1387" t="s">
        <v>182</v>
      </c>
      <c r="K1387">
        <f t="shared" si="21"/>
        <v>637.35</v>
      </c>
    </row>
    <row r="1388" spans="1:11">
      <c r="A1388">
        <v>1387</v>
      </c>
      <c r="B1388" s="1">
        <v>45318</v>
      </c>
      <c r="C1388" t="s">
        <v>26</v>
      </c>
      <c r="D1388" t="s">
        <v>11</v>
      </c>
      <c r="E1388">
        <v>152.05000000000001</v>
      </c>
      <c r="F1388">
        <v>3</v>
      </c>
      <c r="G1388">
        <v>0.27</v>
      </c>
      <c r="H1388">
        <v>0.19</v>
      </c>
      <c r="I1388" t="s">
        <v>12</v>
      </c>
      <c r="J1388" t="s">
        <v>71</v>
      </c>
      <c r="K1388">
        <f t="shared" si="21"/>
        <v>456.15000000000003</v>
      </c>
    </row>
    <row r="1389" spans="1:11">
      <c r="A1389">
        <v>1388</v>
      </c>
      <c r="B1389" s="1">
        <v>45504</v>
      </c>
      <c r="C1389" t="s">
        <v>23</v>
      </c>
      <c r="D1389" t="s">
        <v>15</v>
      </c>
      <c r="E1389">
        <v>51.67</v>
      </c>
      <c r="F1389">
        <v>4</v>
      </c>
      <c r="G1389">
        <v>0.16</v>
      </c>
      <c r="H1389">
        <v>0.28999999999999998</v>
      </c>
      <c r="I1389" t="s">
        <v>24</v>
      </c>
      <c r="J1389" t="s">
        <v>287</v>
      </c>
      <c r="K1389">
        <f t="shared" si="21"/>
        <v>206.68</v>
      </c>
    </row>
    <row r="1390" spans="1:11">
      <c r="A1390">
        <v>1389</v>
      </c>
      <c r="B1390" s="1">
        <v>45313</v>
      </c>
      <c r="C1390" t="s">
        <v>26</v>
      </c>
      <c r="D1390" t="s">
        <v>11</v>
      </c>
      <c r="E1390">
        <v>1017.84</v>
      </c>
      <c r="F1390">
        <v>1</v>
      </c>
      <c r="G1390">
        <v>0.26</v>
      </c>
      <c r="H1390">
        <v>0.24</v>
      </c>
      <c r="I1390" t="s">
        <v>21</v>
      </c>
      <c r="J1390" t="s">
        <v>107</v>
      </c>
      <c r="K1390">
        <f t="shared" si="21"/>
        <v>1017.84</v>
      </c>
    </row>
    <row r="1391" spans="1:11">
      <c r="A1391">
        <v>1390</v>
      </c>
      <c r="B1391" s="1">
        <v>45495</v>
      </c>
      <c r="C1391" t="s">
        <v>23</v>
      </c>
      <c r="D1391" t="s">
        <v>15</v>
      </c>
      <c r="E1391">
        <v>256</v>
      </c>
      <c r="F1391">
        <v>1</v>
      </c>
      <c r="G1391">
        <v>0.14000000000000001</v>
      </c>
      <c r="H1391">
        <v>0.37</v>
      </c>
      <c r="I1391" t="s">
        <v>21</v>
      </c>
      <c r="J1391" t="s">
        <v>58</v>
      </c>
      <c r="K1391">
        <f t="shared" si="21"/>
        <v>256</v>
      </c>
    </row>
    <row r="1392" spans="1:11">
      <c r="A1392">
        <v>1391</v>
      </c>
      <c r="B1392" s="1">
        <v>45513</v>
      </c>
      <c r="C1392" t="s">
        <v>31</v>
      </c>
      <c r="D1392" t="s">
        <v>11</v>
      </c>
      <c r="E1392">
        <v>1472.6</v>
      </c>
      <c r="F1392">
        <v>3</v>
      </c>
      <c r="G1392">
        <v>0.1</v>
      </c>
      <c r="H1392">
        <v>0.37</v>
      </c>
      <c r="I1392" t="s">
        <v>24</v>
      </c>
      <c r="J1392" t="s">
        <v>157</v>
      </c>
      <c r="K1392">
        <f t="shared" si="21"/>
        <v>4417.7999999999993</v>
      </c>
    </row>
    <row r="1393" spans="1:11">
      <c r="A1393">
        <v>1392</v>
      </c>
      <c r="B1393" s="1">
        <v>45527</v>
      </c>
      <c r="C1393" t="s">
        <v>14</v>
      </c>
      <c r="D1393" t="s">
        <v>15</v>
      </c>
      <c r="E1393">
        <v>1014.53</v>
      </c>
      <c r="F1393">
        <v>2</v>
      </c>
      <c r="G1393">
        <v>0.14000000000000001</v>
      </c>
      <c r="H1393">
        <v>0.35</v>
      </c>
      <c r="I1393" t="s">
        <v>24</v>
      </c>
      <c r="J1393" t="s">
        <v>193</v>
      </c>
      <c r="K1393">
        <f t="shared" si="21"/>
        <v>2029.06</v>
      </c>
    </row>
    <row r="1394" spans="1:11">
      <c r="A1394">
        <v>1393</v>
      </c>
      <c r="B1394" s="1">
        <v>45297</v>
      </c>
      <c r="C1394" t="s">
        <v>23</v>
      </c>
      <c r="D1394" t="s">
        <v>15</v>
      </c>
      <c r="E1394">
        <v>987.77</v>
      </c>
      <c r="F1394">
        <v>5</v>
      </c>
      <c r="G1394">
        <v>0.19</v>
      </c>
      <c r="H1394">
        <v>0.28000000000000003</v>
      </c>
      <c r="I1394" t="s">
        <v>24</v>
      </c>
      <c r="J1394" t="s">
        <v>176</v>
      </c>
      <c r="K1394">
        <f t="shared" si="21"/>
        <v>4938.8500000000004</v>
      </c>
    </row>
    <row r="1395" spans="1:11">
      <c r="A1395">
        <v>1394</v>
      </c>
      <c r="B1395" s="1">
        <v>45526</v>
      </c>
      <c r="C1395" t="s">
        <v>20</v>
      </c>
      <c r="D1395" t="s">
        <v>15</v>
      </c>
      <c r="E1395">
        <v>312.54000000000002</v>
      </c>
      <c r="F1395">
        <v>5</v>
      </c>
      <c r="G1395">
        <v>0.17</v>
      </c>
      <c r="H1395">
        <v>0.33</v>
      </c>
      <c r="I1395" t="s">
        <v>24</v>
      </c>
      <c r="J1395" t="s">
        <v>88</v>
      </c>
      <c r="K1395">
        <f t="shared" si="21"/>
        <v>1562.7</v>
      </c>
    </row>
    <row r="1396" spans="1:11">
      <c r="A1396">
        <v>1395</v>
      </c>
      <c r="B1396" s="1">
        <v>45589</v>
      </c>
      <c r="C1396" t="s">
        <v>26</v>
      </c>
      <c r="D1396" t="s">
        <v>11</v>
      </c>
      <c r="E1396">
        <v>591.32000000000005</v>
      </c>
      <c r="F1396">
        <v>5</v>
      </c>
      <c r="G1396">
        <v>0.03</v>
      </c>
      <c r="H1396">
        <v>0.26</v>
      </c>
      <c r="I1396" t="s">
        <v>24</v>
      </c>
      <c r="J1396" t="s">
        <v>218</v>
      </c>
      <c r="K1396">
        <f t="shared" si="21"/>
        <v>2956.6000000000004</v>
      </c>
    </row>
    <row r="1397" spans="1:11">
      <c r="A1397">
        <v>1396</v>
      </c>
      <c r="B1397" s="1">
        <v>45601</v>
      </c>
      <c r="C1397" t="s">
        <v>10</v>
      </c>
      <c r="D1397" t="s">
        <v>11</v>
      </c>
      <c r="E1397">
        <v>692.02</v>
      </c>
      <c r="F1397">
        <v>3</v>
      </c>
      <c r="G1397">
        <v>0.28999999999999998</v>
      </c>
      <c r="H1397">
        <v>0.32</v>
      </c>
      <c r="I1397" t="s">
        <v>16</v>
      </c>
      <c r="J1397" t="s">
        <v>189</v>
      </c>
      <c r="K1397">
        <f t="shared" si="21"/>
        <v>2076.06</v>
      </c>
    </row>
    <row r="1398" spans="1:11">
      <c r="A1398">
        <v>1397</v>
      </c>
      <c r="B1398" s="1">
        <v>45443</v>
      </c>
      <c r="C1398" t="s">
        <v>14</v>
      </c>
      <c r="D1398" t="s">
        <v>15</v>
      </c>
      <c r="E1398">
        <v>1305.44</v>
      </c>
      <c r="F1398">
        <v>1</v>
      </c>
      <c r="G1398">
        <v>0.09</v>
      </c>
      <c r="H1398">
        <v>0.3</v>
      </c>
      <c r="I1398" t="s">
        <v>12</v>
      </c>
      <c r="J1398" t="s">
        <v>145</v>
      </c>
      <c r="K1398">
        <f t="shared" si="21"/>
        <v>1305.44</v>
      </c>
    </row>
    <row r="1399" spans="1:11">
      <c r="A1399">
        <v>1398</v>
      </c>
      <c r="B1399" s="1">
        <v>45454</v>
      </c>
      <c r="C1399" t="s">
        <v>23</v>
      </c>
      <c r="D1399" t="s">
        <v>15</v>
      </c>
      <c r="E1399">
        <v>573.29999999999995</v>
      </c>
      <c r="F1399">
        <v>3</v>
      </c>
      <c r="G1399">
        <v>0.21</v>
      </c>
      <c r="H1399">
        <v>0.11</v>
      </c>
      <c r="I1399" t="s">
        <v>12</v>
      </c>
      <c r="J1399" t="s">
        <v>202</v>
      </c>
      <c r="K1399">
        <f t="shared" si="21"/>
        <v>1719.8999999999999</v>
      </c>
    </row>
    <row r="1400" spans="1:11">
      <c r="A1400">
        <v>1399</v>
      </c>
      <c r="B1400" s="1">
        <v>45643</v>
      </c>
      <c r="C1400" t="s">
        <v>10</v>
      </c>
      <c r="D1400" t="s">
        <v>11</v>
      </c>
      <c r="E1400">
        <v>1172.42</v>
      </c>
      <c r="F1400">
        <v>5</v>
      </c>
      <c r="G1400">
        <v>0.11</v>
      </c>
      <c r="H1400">
        <v>0.21</v>
      </c>
      <c r="I1400" t="s">
        <v>16</v>
      </c>
      <c r="J1400" t="s">
        <v>214</v>
      </c>
      <c r="K1400">
        <f t="shared" si="21"/>
        <v>5862.1</v>
      </c>
    </row>
    <row r="1401" spans="1:11">
      <c r="A1401">
        <v>1400</v>
      </c>
      <c r="B1401" s="1">
        <v>45512</v>
      </c>
      <c r="C1401" t="s">
        <v>23</v>
      </c>
      <c r="D1401" t="s">
        <v>15</v>
      </c>
      <c r="E1401">
        <v>911.61</v>
      </c>
      <c r="F1401">
        <v>1</v>
      </c>
      <c r="G1401">
        <v>0.27</v>
      </c>
      <c r="H1401">
        <v>0.25</v>
      </c>
      <c r="I1401" t="s">
        <v>21</v>
      </c>
      <c r="J1401" t="s">
        <v>300</v>
      </c>
      <c r="K1401">
        <f t="shared" si="21"/>
        <v>911.61</v>
      </c>
    </row>
    <row r="1402" spans="1:11">
      <c r="A1402">
        <v>1401</v>
      </c>
      <c r="B1402" s="1">
        <v>45477</v>
      </c>
      <c r="C1402" t="s">
        <v>23</v>
      </c>
      <c r="D1402" t="s">
        <v>15</v>
      </c>
      <c r="E1402">
        <v>434.35</v>
      </c>
      <c r="F1402">
        <v>4</v>
      </c>
      <c r="G1402">
        <v>0.06</v>
      </c>
      <c r="H1402">
        <v>0.27</v>
      </c>
      <c r="I1402" t="s">
        <v>16</v>
      </c>
      <c r="J1402" t="s">
        <v>98</v>
      </c>
      <c r="K1402">
        <f t="shared" si="21"/>
        <v>1737.4</v>
      </c>
    </row>
    <row r="1403" spans="1:11">
      <c r="A1403">
        <v>1402</v>
      </c>
      <c r="B1403" s="1">
        <v>45432</v>
      </c>
      <c r="C1403" t="s">
        <v>23</v>
      </c>
      <c r="D1403" t="s">
        <v>15</v>
      </c>
      <c r="E1403">
        <v>980.39</v>
      </c>
      <c r="F1403">
        <v>2</v>
      </c>
      <c r="G1403">
        <v>0.21</v>
      </c>
      <c r="H1403">
        <v>0.31</v>
      </c>
      <c r="I1403" t="s">
        <v>21</v>
      </c>
      <c r="J1403" t="s">
        <v>226</v>
      </c>
      <c r="K1403">
        <f t="shared" si="21"/>
        <v>1960.78</v>
      </c>
    </row>
    <row r="1404" spans="1:11">
      <c r="A1404">
        <v>1403</v>
      </c>
      <c r="B1404" s="1">
        <v>45524</v>
      </c>
      <c r="C1404" t="s">
        <v>23</v>
      </c>
      <c r="D1404" t="s">
        <v>15</v>
      </c>
      <c r="E1404">
        <v>829.98</v>
      </c>
      <c r="F1404">
        <v>1</v>
      </c>
      <c r="G1404">
        <v>0.13</v>
      </c>
      <c r="H1404">
        <v>0.23</v>
      </c>
      <c r="I1404" t="s">
        <v>21</v>
      </c>
      <c r="J1404" t="s">
        <v>197</v>
      </c>
      <c r="K1404">
        <f t="shared" si="21"/>
        <v>829.98</v>
      </c>
    </row>
    <row r="1405" spans="1:11">
      <c r="A1405">
        <v>1404</v>
      </c>
      <c r="B1405" s="1">
        <v>45508</v>
      </c>
      <c r="C1405" t="s">
        <v>31</v>
      </c>
      <c r="D1405" t="s">
        <v>11</v>
      </c>
      <c r="E1405">
        <v>627.83000000000004</v>
      </c>
      <c r="F1405">
        <v>4</v>
      </c>
      <c r="G1405">
        <v>0.26</v>
      </c>
      <c r="H1405">
        <v>0.17</v>
      </c>
      <c r="I1405" t="s">
        <v>12</v>
      </c>
      <c r="J1405" t="s">
        <v>289</v>
      </c>
      <c r="K1405">
        <f t="shared" si="21"/>
        <v>2511.3200000000002</v>
      </c>
    </row>
    <row r="1406" spans="1:11">
      <c r="A1406">
        <v>1405</v>
      </c>
      <c r="B1406" s="1">
        <v>45603</v>
      </c>
      <c r="C1406" t="s">
        <v>14</v>
      </c>
      <c r="D1406" t="s">
        <v>15</v>
      </c>
      <c r="E1406">
        <v>1082.8399999999999</v>
      </c>
      <c r="F1406">
        <v>4</v>
      </c>
      <c r="G1406">
        <v>0.15</v>
      </c>
      <c r="H1406">
        <v>0.17</v>
      </c>
      <c r="I1406" t="s">
        <v>16</v>
      </c>
      <c r="J1406" t="s">
        <v>286</v>
      </c>
      <c r="K1406">
        <f t="shared" si="21"/>
        <v>4331.3599999999997</v>
      </c>
    </row>
    <row r="1407" spans="1:11">
      <c r="A1407">
        <v>1406</v>
      </c>
      <c r="B1407" s="1">
        <v>45582</v>
      </c>
      <c r="C1407" t="s">
        <v>23</v>
      </c>
      <c r="D1407" t="s">
        <v>15</v>
      </c>
      <c r="E1407">
        <v>273.14999999999998</v>
      </c>
      <c r="F1407">
        <v>4</v>
      </c>
      <c r="G1407">
        <v>0.27</v>
      </c>
      <c r="H1407">
        <v>0.3</v>
      </c>
      <c r="I1407" t="s">
        <v>12</v>
      </c>
      <c r="J1407" t="s">
        <v>22</v>
      </c>
      <c r="K1407">
        <f t="shared" si="21"/>
        <v>1092.5999999999999</v>
      </c>
    </row>
    <row r="1408" spans="1:11">
      <c r="A1408">
        <v>1407</v>
      </c>
      <c r="B1408" s="1">
        <v>45426</v>
      </c>
      <c r="C1408" t="s">
        <v>26</v>
      </c>
      <c r="D1408" t="s">
        <v>11</v>
      </c>
      <c r="E1408">
        <v>976.73</v>
      </c>
      <c r="F1408">
        <v>3</v>
      </c>
      <c r="G1408">
        <v>0.24</v>
      </c>
      <c r="H1408">
        <v>0.35</v>
      </c>
      <c r="I1408" t="s">
        <v>24</v>
      </c>
      <c r="J1408" t="s">
        <v>300</v>
      </c>
      <c r="K1408">
        <f t="shared" si="21"/>
        <v>2930.19</v>
      </c>
    </row>
    <row r="1409" spans="1:11">
      <c r="A1409">
        <v>1408</v>
      </c>
      <c r="B1409" s="1">
        <v>45483</v>
      </c>
      <c r="C1409" t="s">
        <v>31</v>
      </c>
      <c r="D1409" t="s">
        <v>11</v>
      </c>
      <c r="E1409">
        <v>428.66</v>
      </c>
      <c r="F1409">
        <v>3</v>
      </c>
      <c r="G1409">
        <v>0.21</v>
      </c>
      <c r="H1409">
        <v>0.18</v>
      </c>
      <c r="I1409" t="s">
        <v>12</v>
      </c>
      <c r="J1409" t="s">
        <v>54</v>
      </c>
      <c r="K1409">
        <f t="shared" si="21"/>
        <v>1285.98</v>
      </c>
    </row>
    <row r="1410" spans="1:11">
      <c r="A1410">
        <v>1409</v>
      </c>
      <c r="B1410" s="1">
        <v>45522</v>
      </c>
      <c r="C1410" t="s">
        <v>14</v>
      </c>
      <c r="D1410" t="s">
        <v>15</v>
      </c>
      <c r="E1410">
        <v>35.85</v>
      </c>
      <c r="F1410">
        <v>4</v>
      </c>
      <c r="G1410">
        <v>0</v>
      </c>
      <c r="H1410">
        <v>0.14000000000000001</v>
      </c>
      <c r="I1410" t="s">
        <v>24</v>
      </c>
      <c r="J1410" t="s">
        <v>82</v>
      </c>
      <c r="K1410">
        <f t="shared" si="21"/>
        <v>143.4</v>
      </c>
    </row>
    <row r="1411" spans="1:11">
      <c r="A1411">
        <v>1410</v>
      </c>
      <c r="B1411" s="1">
        <v>45624</v>
      </c>
      <c r="C1411" t="s">
        <v>10</v>
      </c>
      <c r="D1411" t="s">
        <v>11</v>
      </c>
      <c r="E1411">
        <v>1383.14</v>
      </c>
      <c r="F1411">
        <v>2</v>
      </c>
      <c r="G1411">
        <v>0.16</v>
      </c>
      <c r="H1411">
        <v>0.24</v>
      </c>
      <c r="I1411" t="s">
        <v>24</v>
      </c>
      <c r="J1411" t="s">
        <v>63</v>
      </c>
      <c r="K1411">
        <f t="shared" si="21"/>
        <v>2766.28</v>
      </c>
    </row>
    <row r="1412" spans="1:11">
      <c r="A1412">
        <v>1411</v>
      </c>
      <c r="B1412" s="1">
        <v>45421</v>
      </c>
      <c r="C1412" t="s">
        <v>20</v>
      </c>
      <c r="D1412" t="s">
        <v>15</v>
      </c>
      <c r="E1412">
        <v>1018.57</v>
      </c>
      <c r="F1412">
        <v>4</v>
      </c>
      <c r="G1412">
        <v>0.25</v>
      </c>
      <c r="H1412">
        <v>0.37</v>
      </c>
      <c r="I1412" t="s">
        <v>12</v>
      </c>
      <c r="J1412" t="s">
        <v>59</v>
      </c>
      <c r="K1412">
        <f t="shared" ref="K1412:K1475" si="22">E1412*F1412</f>
        <v>4074.28</v>
      </c>
    </row>
    <row r="1413" spans="1:11">
      <c r="A1413">
        <v>1412</v>
      </c>
      <c r="B1413" s="1">
        <v>45434</v>
      </c>
      <c r="C1413" t="s">
        <v>20</v>
      </c>
      <c r="D1413" t="s">
        <v>15</v>
      </c>
      <c r="E1413">
        <v>717.96</v>
      </c>
      <c r="F1413">
        <v>5</v>
      </c>
      <c r="G1413">
        <v>0.08</v>
      </c>
      <c r="H1413">
        <v>0.34</v>
      </c>
      <c r="I1413" t="s">
        <v>12</v>
      </c>
      <c r="J1413" t="s">
        <v>179</v>
      </c>
      <c r="K1413">
        <f t="shared" si="22"/>
        <v>3589.8</v>
      </c>
    </row>
    <row r="1414" spans="1:11">
      <c r="A1414">
        <v>1413</v>
      </c>
      <c r="B1414" s="1">
        <v>45492</v>
      </c>
      <c r="C1414" t="s">
        <v>26</v>
      </c>
      <c r="D1414" t="s">
        <v>11</v>
      </c>
      <c r="E1414">
        <v>267.3</v>
      </c>
      <c r="F1414">
        <v>1</v>
      </c>
      <c r="G1414">
        <v>0.25</v>
      </c>
      <c r="H1414">
        <v>0.3</v>
      </c>
      <c r="I1414" t="s">
        <v>24</v>
      </c>
      <c r="J1414" t="s">
        <v>184</v>
      </c>
      <c r="K1414">
        <f t="shared" si="22"/>
        <v>267.3</v>
      </c>
    </row>
    <row r="1415" spans="1:11">
      <c r="A1415">
        <v>1414</v>
      </c>
      <c r="B1415" s="1">
        <v>45400</v>
      </c>
      <c r="C1415" t="s">
        <v>10</v>
      </c>
      <c r="D1415" t="s">
        <v>11</v>
      </c>
      <c r="E1415">
        <v>309.22000000000003</v>
      </c>
      <c r="F1415">
        <v>3</v>
      </c>
      <c r="G1415">
        <v>0.16</v>
      </c>
      <c r="H1415">
        <v>0.32</v>
      </c>
      <c r="I1415" t="s">
        <v>24</v>
      </c>
      <c r="J1415" t="s">
        <v>97</v>
      </c>
      <c r="K1415">
        <f t="shared" si="22"/>
        <v>927.66000000000008</v>
      </c>
    </row>
    <row r="1416" spans="1:11">
      <c r="A1416">
        <v>1415</v>
      </c>
      <c r="B1416" s="1">
        <v>45447</v>
      </c>
      <c r="C1416" t="s">
        <v>14</v>
      </c>
      <c r="D1416" t="s">
        <v>15</v>
      </c>
      <c r="E1416">
        <v>1245.73</v>
      </c>
      <c r="F1416">
        <v>2</v>
      </c>
      <c r="G1416">
        <v>0.27</v>
      </c>
      <c r="H1416">
        <v>0.28000000000000003</v>
      </c>
      <c r="I1416" t="s">
        <v>12</v>
      </c>
      <c r="J1416" t="s">
        <v>299</v>
      </c>
      <c r="K1416">
        <f t="shared" si="22"/>
        <v>2491.46</v>
      </c>
    </row>
    <row r="1417" spans="1:11">
      <c r="A1417">
        <v>1416</v>
      </c>
      <c r="B1417" s="1">
        <v>45358</v>
      </c>
      <c r="C1417" t="s">
        <v>10</v>
      </c>
      <c r="D1417" t="s">
        <v>11</v>
      </c>
      <c r="E1417">
        <v>1043</v>
      </c>
      <c r="F1417">
        <v>3</v>
      </c>
      <c r="G1417">
        <v>7.0000000000000007E-2</v>
      </c>
      <c r="H1417">
        <v>0.24</v>
      </c>
      <c r="I1417" t="s">
        <v>21</v>
      </c>
      <c r="J1417" t="s">
        <v>94</v>
      </c>
      <c r="K1417">
        <f t="shared" si="22"/>
        <v>3129</v>
      </c>
    </row>
    <row r="1418" spans="1:11">
      <c r="A1418">
        <v>1417</v>
      </c>
      <c r="B1418" s="1">
        <v>45343</v>
      </c>
      <c r="C1418" t="s">
        <v>20</v>
      </c>
      <c r="D1418" t="s">
        <v>15</v>
      </c>
      <c r="E1418">
        <v>1487.95</v>
      </c>
      <c r="F1418">
        <v>5</v>
      </c>
      <c r="G1418">
        <v>0.25</v>
      </c>
      <c r="H1418">
        <v>0.23</v>
      </c>
      <c r="I1418" t="s">
        <v>16</v>
      </c>
      <c r="J1418" t="s">
        <v>58</v>
      </c>
      <c r="K1418">
        <f t="shared" si="22"/>
        <v>7439.75</v>
      </c>
    </row>
    <row r="1419" spans="1:11">
      <c r="A1419">
        <v>1418</v>
      </c>
      <c r="B1419" s="1">
        <v>45446</v>
      </c>
      <c r="C1419" t="s">
        <v>10</v>
      </c>
      <c r="D1419" t="s">
        <v>11</v>
      </c>
      <c r="E1419">
        <v>1131.49</v>
      </c>
      <c r="F1419">
        <v>1</v>
      </c>
      <c r="G1419">
        <v>0.3</v>
      </c>
      <c r="H1419">
        <v>0.18</v>
      </c>
      <c r="I1419" t="s">
        <v>16</v>
      </c>
      <c r="J1419" t="s">
        <v>190</v>
      </c>
      <c r="K1419">
        <f t="shared" si="22"/>
        <v>1131.49</v>
      </c>
    </row>
    <row r="1420" spans="1:11">
      <c r="A1420">
        <v>1419</v>
      </c>
      <c r="B1420" s="1">
        <v>45414</v>
      </c>
      <c r="C1420" t="s">
        <v>23</v>
      </c>
      <c r="D1420" t="s">
        <v>15</v>
      </c>
      <c r="E1420">
        <v>511.06</v>
      </c>
      <c r="F1420">
        <v>4</v>
      </c>
      <c r="G1420">
        <v>0.26</v>
      </c>
      <c r="H1420">
        <v>0.31</v>
      </c>
      <c r="I1420" t="s">
        <v>16</v>
      </c>
      <c r="J1420" t="s">
        <v>95</v>
      </c>
      <c r="K1420">
        <f t="shared" si="22"/>
        <v>2044.24</v>
      </c>
    </row>
    <row r="1421" spans="1:11">
      <c r="A1421">
        <v>1420</v>
      </c>
      <c r="B1421" s="1">
        <v>45310</v>
      </c>
      <c r="C1421" t="s">
        <v>26</v>
      </c>
      <c r="D1421" t="s">
        <v>11</v>
      </c>
      <c r="E1421">
        <v>1199.52</v>
      </c>
      <c r="F1421">
        <v>2</v>
      </c>
      <c r="G1421">
        <v>0.26</v>
      </c>
      <c r="H1421">
        <v>0.12</v>
      </c>
      <c r="I1421" t="s">
        <v>12</v>
      </c>
      <c r="J1421" t="s">
        <v>80</v>
      </c>
      <c r="K1421">
        <f t="shared" si="22"/>
        <v>2399.04</v>
      </c>
    </row>
    <row r="1422" spans="1:11">
      <c r="A1422">
        <v>1421</v>
      </c>
      <c r="B1422" s="1">
        <v>45591</v>
      </c>
      <c r="C1422" t="s">
        <v>23</v>
      </c>
      <c r="D1422" t="s">
        <v>15</v>
      </c>
      <c r="E1422">
        <v>796</v>
      </c>
      <c r="F1422">
        <v>5</v>
      </c>
      <c r="G1422">
        <v>0.09</v>
      </c>
      <c r="H1422">
        <v>0.32</v>
      </c>
      <c r="I1422" t="s">
        <v>21</v>
      </c>
      <c r="J1422" t="s">
        <v>127</v>
      </c>
      <c r="K1422">
        <f t="shared" si="22"/>
        <v>3980</v>
      </c>
    </row>
    <row r="1423" spans="1:11">
      <c r="A1423">
        <v>1422</v>
      </c>
      <c r="B1423" s="1">
        <v>45467</v>
      </c>
      <c r="C1423" t="s">
        <v>20</v>
      </c>
      <c r="D1423" t="s">
        <v>15</v>
      </c>
      <c r="E1423">
        <v>327.7</v>
      </c>
      <c r="F1423">
        <v>1</v>
      </c>
      <c r="G1423">
        <v>0.04</v>
      </c>
      <c r="H1423">
        <v>0.19</v>
      </c>
      <c r="I1423" t="s">
        <v>16</v>
      </c>
      <c r="J1423" t="s">
        <v>144</v>
      </c>
      <c r="K1423">
        <f t="shared" si="22"/>
        <v>327.7</v>
      </c>
    </row>
    <row r="1424" spans="1:11">
      <c r="A1424">
        <v>1423</v>
      </c>
      <c r="B1424" s="1">
        <v>45297</v>
      </c>
      <c r="C1424" t="s">
        <v>14</v>
      </c>
      <c r="D1424" t="s">
        <v>15</v>
      </c>
      <c r="E1424">
        <v>593.69000000000005</v>
      </c>
      <c r="F1424">
        <v>1</v>
      </c>
      <c r="G1424">
        <v>0.22</v>
      </c>
      <c r="H1424">
        <v>0.34</v>
      </c>
      <c r="I1424" t="s">
        <v>24</v>
      </c>
      <c r="J1424" t="s">
        <v>249</v>
      </c>
      <c r="K1424">
        <f t="shared" si="22"/>
        <v>593.69000000000005</v>
      </c>
    </row>
    <row r="1425" spans="1:11">
      <c r="A1425">
        <v>1424</v>
      </c>
      <c r="B1425" s="1">
        <v>45473</v>
      </c>
      <c r="C1425" t="s">
        <v>10</v>
      </c>
      <c r="D1425" t="s">
        <v>11</v>
      </c>
      <c r="E1425">
        <v>1482.85</v>
      </c>
      <c r="F1425">
        <v>3</v>
      </c>
      <c r="G1425">
        <v>0.04</v>
      </c>
      <c r="H1425">
        <v>0.2</v>
      </c>
      <c r="I1425" t="s">
        <v>16</v>
      </c>
      <c r="J1425" t="s">
        <v>97</v>
      </c>
      <c r="K1425">
        <f t="shared" si="22"/>
        <v>4448.5499999999993</v>
      </c>
    </row>
    <row r="1426" spans="1:11">
      <c r="A1426">
        <v>1425</v>
      </c>
      <c r="B1426" s="1">
        <v>45387</v>
      </c>
      <c r="C1426" t="s">
        <v>31</v>
      </c>
      <c r="D1426" t="s">
        <v>11</v>
      </c>
      <c r="E1426">
        <v>176.79</v>
      </c>
      <c r="F1426">
        <v>5</v>
      </c>
      <c r="G1426">
        <v>0.28000000000000003</v>
      </c>
      <c r="H1426">
        <v>0.33</v>
      </c>
      <c r="I1426" t="s">
        <v>21</v>
      </c>
      <c r="J1426" t="s">
        <v>50</v>
      </c>
      <c r="K1426">
        <f t="shared" si="22"/>
        <v>883.94999999999993</v>
      </c>
    </row>
    <row r="1427" spans="1:11">
      <c r="A1427">
        <v>1426</v>
      </c>
      <c r="B1427" s="1">
        <v>45475</v>
      </c>
      <c r="C1427" t="s">
        <v>10</v>
      </c>
      <c r="D1427" t="s">
        <v>11</v>
      </c>
      <c r="E1427">
        <v>752.02</v>
      </c>
      <c r="F1427">
        <v>4</v>
      </c>
      <c r="G1427">
        <v>0.22</v>
      </c>
      <c r="H1427">
        <v>0.38</v>
      </c>
      <c r="I1427" t="s">
        <v>16</v>
      </c>
      <c r="J1427" t="s">
        <v>150</v>
      </c>
      <c r="K1427">
        <f t="shared" si="22"/>
        <v>3008.08</v>
      </c>
    </row>
    <row r="1428" spans="1:11">
      <c r="A1428">
        <v>1427</v>
      </c>
      <c r="B1428" s="1">
        <v>45424</v>
      </c>
      <c r="C1428" t="s">
        <v>10</v>
      </c>
      <c r="D1428" t="s">
        <v>11</v>
      </c>
      <c r="E1428">
        <v>748.95</v>
      </c>
      <c r="F1428">
        <v>5</v>
      </c>
      <c r="G1428">
        <v>0.23</v>
      </c>
      <c r="H1428">
        <v>0.27</v>
      </c>
      <c r="I1428" t="s">
        <v>16</v>
      </c>
      <c r="J1428" t="s">
        <v>177</v>
      </c>
      <c r="K1428">
        <f t="shared" si="22"/>
        <v>3744.75</v>
      </c>
    </row>
    <row r="1429" spans="1:11">
      <c r="A1429">
        <v>1428</v>
      </c>
      <c r="B1429" s="1">
        <v>45337</v>
      </c>
      <c r="C1429" t="s">
        <v>26</v>
      </c>
      <c r="D1429" t="s">
        <v>11</v>
      </c>
      <c r="E1429">
        <v>583.54</v>
      </c>
      <c r="F1429">
        <v>2</v>
      </c>
      <c r="G1429">
        <v>0.04</v>
      </c>
      <c r="H1429">
        <v>0.26</v>
      </c>
      <c r="I1429" t="s">
        <v>16</v>
      </c>
      <c r="J1429" t="s">
        <v>17</v>
      </c>
      <c r="K1429">
        <f t="shared" si="22"/>
        <v>1167.08</v>
      </c>
    </row>
    <row r="1430" spans="1:11">
      <c r="A1430">
        <v>1429</v>
      </c>
      <c r="B1430" s="1">
        <v>45584</v>
      </c>
      <c r="C1430" t="s">
        <v>26</v>
      </c>
      <c r="D1430" t="s">
        <v>11</v>
      </c>
      <c r="E1430">
        <v>1077.6400000000001</v>
      </c>
      <c r="F1430">
        <v>3</v>
      </c>
      <c r="G1430">
        <v>0.2</v>
      </c>
      <c r="H1430">
        <v>0.16</v>
      </c>
      <c r="I1430" t="s">
        <v>21</v>
      </c>
      <c r="J1430" t="s">
        <v>221</v>
      </c>
      <c r="K1430">
        <f t="shared" si="22"/>
        <v>3232.92</v>
      </c>
    </row>
    <row r="1431" spans="1:11">
      <c r="A1431">
        <v>1430</v>
      </c>
      <c r="B1431" s="1">
        <v>45414</v>
      </c>
      <c r="C1431" t="s">
        <v>26</v>
      </c>
      <c r="D1431" t="s">
        <v>11</v>
      </c>
      <c r="E1431">
        <v>820.31</v>
      </c>
      <c r="F1431">
        <v>3</v>
      </c>
      <c r="G1431">
        <v>0.19</v>
      </c>
      <c r="H1431">
        <v>0.23</v>
      </c>
      <c r="I1431" t="s">
        <v>24</v>
      </c>
      <c r="J1431" t="s">
        <v>158</v>
      </c>
      <c r="K1431">
        <f t="shared" si="22"/>
        <v>2460.9299999999998</v>
      </c>
    </row>
    <row r="1432" spans="1:11">
      <c r="A1432">
        <v>1431</v>
      </c>
      <c r="B1432" s="1">
        <v>45609</v>
      </c>
      <c r="C1432" t="s">
        <v>26</v>
      </c>
      <c r="D1432" t="s">
        <v>11</v>
      </c>
      <c r="E1432">
        <v>838.74</v>
      </c>
      <c r="F1432">
        <v>2</v>
      </c>
      <c r="G1432">
        <v>0.01</v>
      </c>
      <c r="H1432">
        <v>0.13</v>
      </c>
      <c r="I1432" t="s">
        <v>21</v>
      </c>
      <c r="J1432" t="s">
        <v>162</v>
      </c>
      <c r="K1432">
        <f t="shared" si="22"/>
        <v>1677.48</v>
      </c>
    </row>
    <row r="1433" spans="1:11">
      <c r="A1433">
        <v>1432</v>
      </c>
      <c r="B1433" s="1">
        <v>45503</v>
      </c>
      <c r="C1433" t="s">
        <v>10</v>
      </c>
      <c r="D1433" t="s">
        <v>11</v>
      </c>
      <c r="E1433">
        <v>761.28</v>
      </c>
      <c r="F1433">
        <v>1</v>
      </c>
      <c r="G1433">
        <v>0.22</v>
      </c>
      <c r="H1433">
        <v>0.17</v>
      </c>
      <c r="I1433" t="s">
        <v>12</v>
      </c>
      <c r="J1433" t="s">
        <v>126</v>
      </c>
      <c r="K1433">
        <f t="shared" si="22"/>
        <v>761.28</v>
      </c>
    </row>
    <row r="1434" spans="1:11">
      <c r="A1434">
        <v>1433</v>
      </c>
      <c r="B1434" s="1">
        <v>45606</v>
      </c>
      <c r="C1434" t="s">
        <v>26</v>
      </c>
      <c r="D1434" t="s">
        <v>11</v>
      </c>
      <c r="E1434">
        <v>537.25</v>
      </c>
      <c r="F1434">
        <v>4</v>
      </c>
      <c r="G1434">
        <v>0.21</v>
      </c>
      <c r="H1434">
        <v>0.36</v>
      </c>
      <c r="I1434" t="s">
        <v>16</v>
      </c>
      <c r="J1434" t="s">
        <v>225</v>
      </c>
      <c r="K1434">
        <f t="shared" si="22"/>
        <v>2149</v>
      </c>
    </row>
    <row r="1435" spans="1:11">
      <c r="A1435">
        <v>1434</v>
      </c>
      <c r="B1435" s="1">
        <v>45510</v>
      </c>
      <c r="C1435" t="s">
        <v>14</v>
      </c>
      <c r="D1435" t="s">
        <v>15</v>
      </c>
      <c r="E1435">
        <v>420.37</v>
      </c>
      <c r="F1435">
        <v>4</v>
      </c>
      <c r="G1435">
        <v>0.21</v>
      </c>
      <c r="H1435">
        <v>0.36</v>
      </c>
      <c r="I1435" t="s">
        <v>16</v>
      </c>
      <c r="J1435" t="s">
        <v>298</v>
      </c>
      <c r="K1435">
        <f t="shared" si="22"/>
        <v>1681.48</v>
      </c>
    </row>
    <row r="1436" spans="1:11">
      <c r="A1436">
        <v>1435</v>
      </c>
      <c r="B1436" s="1">
        <v>45451</v>
      </c>
      <c r="C1436" t="s">
        <v>26</v>
      </c>
      <c r="D1436" t="s">
        <v>11</v>
      </c>
      <c r="E1436">
        <v>129.06</v>
      </c>
      <c r="F1436">
        <v>3</v>
      </c>
      <c r="G1436">
        <v>0.28000000000000003</v>
      </c>
      <c r="H1436">
        <v>0.32</v>
      </c>
      <c r="I1436" t="s">
        <v>21</v>
      </c>
      <c r="J1436" t="s">
        <v>62</v>
      </c>
      <c r="K1436">
        <f t="shared" si="22"/>
        <v>387.18</v>
      </c>
    </row>
    <row r="1437" spans="1:11">
      <c r="A1437">
        <v>1436</v>
      </c>
      <c r="B1437" s="1">
        <v>45648</v>
      </c>
      <c r="C1437" t="s">
        <v>10</v>
      </c>
      <c r="D1437" t="s">
        <v>11</v>
      </c>
      <c r="E1437">
        <v>1240.25</v>
      </c>
      <c r="F1437">
        <v>3</v>
      </c>
      <c r="G1437">
        <v>0.16</v>
      </c>
      <c r="H1437">
        <v>0.28999999999999998</v>
      </c>
      <c r="I1437" t="s">
        <v>12</v>
      </c>
      <c r="J1437" t="s">
        <v>265</v>
      </c>
      <c r="K1437">
        <f t="shared" si="22"/>
        <v>3720.75</v>
      </c>
    </row>
    <row r="1438" spans="1:11">
      <c r="A1438">
        <v>1437</v>
      </c>
      <c r="B1438" s="1">
        <v>45373</v>
      </c>
      <c r="C1438" t="s">
        <v>10</v>
      </c>
      <c r="D1438" t="s">
        <v>11</v>
      </c>
      <c r="E1438">
        <v>942.46</v>
      </c>
      <c r="F1438">
        <v>4</v>
      </c>
      <c r="G1438">
        <v>0.04</v>
      </c>
      <c r="H1438">
        <v>0.28000000000000003</v>
      </c>
      <c r="I1438" t="s">
        <v>16</v>
      </c>
      <c r="J1438" t="s">
        <v>53</v>
      </c>
      <c r="K1438">
        <f t="shared" si="22"/>
        <v>3769.84</v>
      </c>
    </row>
    <row r="1439" spans="1:11">
      <c r="A1439">
        <v>1438</v>
      </c>
      <c r="B1439" s="1">
        <v>45531</v>
      </c>
      <c r="C1439" t="s">
        <v>26</v>
      </c>
      <c r="D1439" t="s">
        <v>11</v>
      </c>
      <c r="E1439">
        <v>555.69000000000005</v>
      </c>
      <c r="F1439">
        <v>3</v>
      </c>
      <c r="G1439">
        <v>0.28999999999999998</v>
      </c>
      <c r="H1439">
        <v>0.13</v>
      </c>
      <c r="I1439" t="s">
        <v>21</v>
      </c>
      <c r="J1439" t="s">
        <v>188</v>
      </c>
      <c r="K1439">
        <f t="shared" si="22"/>
        <v>1667.0700000000002</v>
      </c>
    </row>
    <row r="1440" spans="1:11">
      <c r="A1440">
        <v>1439</v>
      </c>
      <c r="B1440" s="1">
        <v>45528</v>
      </c>
      <c r="C1440" t="s">
        <v>14</v>
      </c>
      <c r="D1440" t="s">
        <v>15</v>
      </c>
      <c r="E1440">
        <v>1426.99</v>
      </c>
      <c r="F1440">
        <v>3</v>
      </c>
      <c r="G1440">
        <v>0.13</v>
      </c>
      <c r="H1440">
        <v>0.31</v>
      </c>
      <c r="I1440" t="s">
        <v>16</v>
      </c>
      <c r="J1440" t="s">
        <v>141</v>
      </c>
      <c r="K1440">
        <f t="shared" si="22"/>
        <v>4280.97</v>
      </c>
    </row>
    <row r="1441" spans="1:11">
      <c r="A1441">
        <v>1440</v>
      </c>
      <c r="B1441" s="1">
        <v>45407</v>
      </c>
      <c r="C1441" t="s">
        <v>10</v>
      </c>
      <c r="D1441" t="s">
        <v>11</v>
      </c>
      <c r="E1441">
        <v>465.92</v>
      </c>
      <c r="F1441">
        <v>1</v>
      </c>
      <c r="G1441">
        <v>0.12</v>
      </c>
      <c r="H1441">
        <v>0.23</v>
      </c>
      <c r="I1441" t="s">
        <v>24</v>
      </c>
      <c r="J1441" t="s">
        <v>223</v>
      </c>
      <c r="K1441">
        <f t="shared" si="22"/>
        <v>465.92</v>
      </c>
    </row>
    <row r="1442" spans="1:11">
      <c r="A1442">
        <v>1441</v>
      </c>
      <c r="B1442" s="1">
        <v>45384</v>
      </c>
      <c r="C1442" t="s">
        <v>14</v>
      </c>
      <c r="D1442" t="s">
        <v>15</v>
      </c>
      <c r="E1442">
        <v>573.46</v>
      </c>
      <c r="F1442">
        <v>1</v>
      </c>
      <c r="G1442">
        <v>0.04</v>
      </c>
      <c r="H1442">
        <v>0.26</v>
      </c>
      <c r="I1442" t="s">
        <v>16</v>
      </c>
      <c r="J1442" t="s">
        <v>249</v>
      </c>
      <c r="K1442">
        <f t="shared" si="22"/>
        <v>573.46</v>
      </c>
    </row>
    <row r="1443" spans="1:11">
      <c r="A1443">
        <v>1442</v>
      </c>
      <c r="B1443" s="1">
        <v>45620</v>
      </c>
      <c r="C1443" t="s">
        <v>23</v>
      </c>
      <c r="D1443" t="s">
        <v>15</v>
      </c>
      <c r="E1443">
        <v>321.73</v>
      </c>
      <c r="F1443">
        <v>1</v>
      </c>
      <c r="G1443">
        <v>0.3</v>
      </c>
      <c r="H1443">
        <v>0.35</v>
      </c>
      <c r="I1443" t="s">
        <v>24</v>
      </c>
      <c r="J1443" t="s">
        <v>139</v>
      </c>
      <c r="K1443">
        <f t="shared" si="22"/>
        <v>321.73</v>
      </c>
    </row>
    <row r="1444" spans="1:11">
      <c r="A1444">
        <v>1443</v>
      </c>
      <c r="B1444" s="1">
        <v>45314</v>
      </c>
      <c r="C1444" t="s">
        <v>31</v>
      </c>
      <c r="D1444" t="s">
        <v>11</v>
      </c>
      <c r="E1444">
        <v>150.03</v>
      </c>
      <c r="F1444">
        <v>4</v>
      </c>
      <c r="G1444">
        <v>0.23</v>
      </c>
      <c r="H1444">
        <v>0.37</v>
      </c>
      <c r="I1444" t="s">
        <v>12</v>
      </c>
      <c r="J1444" t="s">
        <v>263</v>
      </c>
      <c r="K1444">
        <f t="shared" si="22"/>
        <v>600.12</v>
      </c>
    </row>
    <row r="1445" spans="1:11">
      <c r="A1445">
        <v>1444</v>
      </c>
      <c r="B1445" s="1">
        <v>45581</v>
      </c>
      <c r="C1445" t="s">
        <v>31</v>
      </c>
      <c r="D1445" t="s">
        <v>11</v>
      </c>
      <c r="E1445">
        <v>539.58000000000004</v>
      </c>
      <c r="F1445">
        <v>5</v>
      </c>
      <c r="G1445">
        <v>0.02</v>
      </c>
      <c r="H1445">
        <v>0.33</v>
      </c>
      <c r="I1445" t="s">
        <v>16</v>
      </c>
      <c r="J1445" t="s">
        <v>187</v>
      </c>
      <c r="K1445">
        <f t="shared" si="22"/>
        <v>2697.9</v>
      </c>
    </row>
    <row r="1446" spans="1:11">
      <c r="A1446">
        <v>1445</v>
      </c>
      <c r="B1446" s="1">
        <v>45650</v>
      </c>
      <c r="C1446" t="s">
        <v>14</v>
      </c>
      <c r="D1446" t="s">
        <v>15</v>
      </c>
      <c r="E1446">
        <v>1203.6500000000001</v>
      </c>
      <c r="F1446">
        <v>5</v>
      </c>
      <c r="G1446">
        <v>7.0000000000000007E-2</v>
      </c>
      <c r="H1446">
        <v>0.35</v>
      </c>
      <c r="I1446" t="s">
        <v>12</v>
      </c>
      <c r="J1446" t="s">
        <v>64</v>
      </c>
      <c r="K1446">
        <f t="shared" si="22"/>
        <v>6018.25</v>
      </c>
    </row>
    <row r="1447" spans="1:11">
      <c r="A1447">
        <v>1446</v>
      </c>
      <c r="B1447" s="1">
        <v>45320</v>
      </c>
      <c r="C1447" t="s">
        <v>14</v>
      </c>
      <c r="D1447" t="s">
        <v>15</v>
      </c>
      <c r="E1447">
        <v>1471.62</v>
      </c>
      <c r="F1447">
        <v>3</v>
      </c>
      <c r="G1447">
        <v>0.22</v>
      </c>
      <c r="H1447">
        <v>0.28999999999999998</v>
      </c>
      <c r="I1447" t="s">
        <v>24</v>
      </c>
      <c r="J1447" t="s">
        <v>85</v>
      </c>
      <c r="K1447">
        <f t="shared" si="22"/>
        <v>4414.8599999999997</v>
      </c>
    </row>
    <row r="1448" spans="1:11">
      <c r="A1448">
        <v>1447</v>
      </c>
      <c r="B1448" s="1">
        <v>45415</v>
      </c>
      <c r="C1448" t="s">
        <v>10</v>
      </c>
      <c r="D1448" t="s">
        <v>11</v>
      </c>
      <c r="E1448">
        <v>1194</v>
      </c>
      <c r="F1448">
        <v>5</v>
      </c>
      <c r="G1448">
        <v>0.27</v>
      </c>
      <c r="H1448">
        <v>0.32</v>
      </c>
      <c r="I1448" t="s">
        <v>12</v>
      </c>
      <c r="J1448" t="s">
        <v>236</v>
      </c>
      <c r="K1448">
        <f t="shared" si="22"/>
        <v>5970</v>
      </c>
    </row>
    <row r="1449" spans="1:11">
      <c r="A1449">
        <v>1448</v>
      </c>
      <c r="B1449" s="1">
        <v>45494</v>
      </c>
      <c r="C1449" t="s">
        <v>31</v>
      </c>
      <c r="D1449" t="s">
        <v>11</v>
      </c>
      <c r="E1449">
        <v>1256.98</v>
      </c>
      <c r="F1449">
        <v>5</v>
      </c>
      <c r="G1449">
        <v>0.26</v>
      </c>
      <c r="H1449">
        <v>0.17</v>
      </c>
      <c r="I1449" t="s">
        <v>12</v>
      </c>
      <c r="J1449" t="s">
        <v>44</v>
      </c>
      <c r="K1449">
        <f t="shared" si="22"/>
        <v>6284.9</v>
      </c>
    </row>
    <row r="1450" spans="1:11">
      <c r="A1450">
        <v>1449</v>
      </c>
      <c r="B1450" s="1">
        <v>45617</v>
      </c>
      <c r="C1450" t="s">
        <v>23</v>
      </c>
      <c r="D1450" t="s">
        <v>15</v>
      </c>
      <c r="E1450">
        <v>1391.13</v>
      </c>
      <c r="F1450">
        <v>5</v>
      </c>
      <c r="G1450">
        <v>7.0000000000000007E-2</v>
      </c>
      <c r="H1450">
        <v>0.38</v>
      </c>
      <c r="I1450" t="s">
        <v>16</v>
      </c>
      <c r="J1450" t="s">
        <v>223</v>
      </c>
      <c r="K1450">
        <f t="shared" si="22"/>
        <v>6955.6500000000005</v>
      </c>
    </row>
    <row r="1451" spans="1:11">
      <c r="A1451">
        <v>1450</v>
      </c>
      <c r="B1451" s="1">
        <v>45477</v>
      </c>
      <c r="C1451" t="s">
        <v>20</v>
      </c>
      <c r="D1451" t="s">
        <v>15</v>
      </c>
      <c r="E1451">
        <v>762.03</v>
      </c>
      <c r="F1451">
        <v>3</v>
      </c>
      <c r="G1451">
        <v>0.14000000000000001</v>
      </c>
      <c r="H1451">
        <v>0.28000000000000003</v>
      </c>
      <c r="I1451" t="s">
        <v>12</v>
      </c>
      <c r="J1451" t="s">
        <v>260</v>
      </c>
      <c r="K1451">
        <f t="shared" si="22"/>
        <v>2286.09</v>
      </c>
    </row>
    <row r="1452" spans="1:11">
      <c r="A1452">
        <v>1451</v>
      </c>
      <c r="B1452" s="1">
        <v>45444</v>
      </c>
      <c r="C1452" t="s">
        <v>31</v>
      </c>
      <c r="D1452" t="s">
        <v>11</v>
      </c>
      <c r="E1452">
        <v>1456.57</v>
      </c>
      <c r="F1452">
        <v>1</v>
      </c>
      <c r="G1452">
        <v>0.28999999999999998</v>
      </c>
      <c r="H1452">
        <v>0.18</v>
      </c>
      <c r="I1452" t="s">
        <v>21</v>
      </c>
      <c r="J1452" t="s">
        <v>147</v>
      </c>
      <c r="K1452">
        <f t="shared" si="22"/>
        <v>1456.57</v>
      </c>
    </row>
    <row r="1453" spans="1:11">
      <c r="A1453">
        <v>1452</v>
      </c>
      <c r="B1453" s="1">
        <v>45383</v>
      </c>
      <c r="C1453" t="s">
        <v>10</v>
      </c>
      <c r="D1453" t="s">
        <v>11</v>
      </c>
      <c r="E1453">
        <v>1052.1300000000001</v>
      </c>
      <c r="F1453">
        <v>1</v>
      </c>
      <c r="G1453">
        <v>0.15</v>
      </c>
      <c r="H1453">
        <v>0.14000000000000001</v>
      </c>
      <c r="I1453" t="s">
        <v>12</v>
      </c>
      <c r="J1453" t="s">
        <v>170</v>
      </c>
      <c r="K1453">
        <f t="shared" si="22"/>
        <v>1052.1300000000001</v>
      </c>
    </row>
    <row r="1454" spans="1:11">
      <c r="A1454">
        <v>1453</v>
      </c>
      <c r="B1454" s="1">
        <v>45343</v>
      </c>
      <c r="C1454" t="s">
        <v>10</v>
      </c>
      <c r="D1454" t="s">
        <v>11</v>
      </c>
      <c r="E1454">
        <v>1131.6500000000001</v>
      </c>
      <c r="F1454">
        <v>1</v>
      </c>
      <c r="G1454">
        <v>0.16</v>
      </c>
      <c r="H1454">
        <v>0.28000000000000003</v>
      </c>
      <c r="I1454" t="s">
        <v>21</v>
      </c>
      <c r="J1454" t="s">
        <v>176</v>
      </c>
      <c r="K1454">
        <f t="shared" si="22"/>
        <v>1131.6500000000001</v>
      </c>
    </row>
    <row r="1455" spans="1:11">
      <c r="A1455">
        <v>1454</v>
      </c>
      <c r="B1455" s="1">
        <v>45384</v>
      </c>
      <c r="C1455" t="s">
        <v>23</v>
      </c>
      <c r="D1455" t="s">
        <v>15</v>
      </c>
      <c r="E1455">
        <v>406.59</v>
      </c>
      <c r="F1455">
        <v>1</v>
      </c>
      <c r="G1455">
        <v>0.21</v>
      </c>
      <c r="H1455">
        <v>0.21</v>
      </c>
      <c r="I1455" t="s">
        <v>16</v>
      </c>
      <c r="J1455" t="s">
        <v>190</v>
      </c>
      <c r="K1455">
        <f t="shared" si="22"/>
        <v>406.59</v>
      </c>
    </row>
    <row r="1456" spans="1:11">
      <c r="A1456">
        <v>1455</v>
      </c>
      <c r="B1456" s="1">
        <v>45444</v>
      </c>
      <c r="C1456" t="s">
        <v>23</v>
      </c>
      <c r="D1456" t="s">
        <v>15</v>
      </c>
      <c r="E1456">
        <v>442.75</v>
      </c>
      <c r="F1456">
        <v>2</v>
      </c>
      <c r="G1456">
        <v>7.0000000000000007E-2</v>
      </c>
      <c r="H1456">
        <v>0.2</v>
      </c>
      <c r="I1456" t="s">
        <v>24</v>
      </c>
      <c r="J1456" t="s">
        <v>116</v>
      </c>
      <c r="K1456">
        <f t="shared" si="22"/>
        <v>885.5</v>
      </c>
    </row>
    <row r="1457" spans="1:11">
      <c r="A1457">
        <v>1456</v>
      </c>
      <c r="B1457" s="1">
        <v>45440</v>
      </c>
      <c r="C1457" t="s">
        <v>23</v>
      </c>
      <c r="D1457" t="s">
        <v>15</v>
      </c>
      <c r="E1457">
        <v>619.96</v>
      </c>
      <c r="F1457">
        <v>5</v>
      </c>
      <c r="G1457">
        <v>0.06</v>
      </c>
      <c r="H1457">
        <v>0.35</v>
      </c>
      <c r="I1457" t="s">
        <v>24</v>
      </c>
      <c r="J1457" t="s">
        <v>241</v>
      </c>
      <c r="K1457">
        <f t="shared" si="22"/>
        <v>3099.8</v>
      </c>
    </row>
    <row r="1458" spans="1:11">
      <c r="A1458">
        <v>1457</v>
      </c>
      <c r="B1458" s="1">
        <v>45458</v>
      </c>
      <c r="C1458" t="s">
        <v>10</v>
      </c>
      <c r="D1458" t="s">
        <v>11</v>
      </c>
      <c r="E1458">
        <v>851.17</v>
      </c>
      <c r="F1458">
        <v>5</v>
      </c>
      <c r="G1458">
        <v>0.1</v>
      </c>
      <c r="H1458">
        <v>0.32</v>
      </c>
      <c r="I1458" t="s">
        <v>16</v>
      </c>
      <c r="J1458" t="s">
        <v>289</v>
      </c>
      <c r="K1458">
        <f t="shared" si="22"/>
        <v>4255.8499999999995</v>
      </c>
    </row>
    <row r="1459" spans="1:11">
      <c r="A1459">
        <v>1458</v>
      </c>
      <c r="B1459" s="1">
        <v>45529</v>
      </c>
      <c r="C1459" t="s">
        <v>10</v>
      </c>
      <c r="D1459" t="s">
        <v>11</v>
      </c>
      <c r="E1459">
        <v>33.65</v>
      </c>
      <c r="F1459">
        <v>4</v>
      </c>
      <c r="G1459">
        <v>0.19</v>
      </c>
      <c r="H1459">
        <v>0.39</v>
      </c>
      <c r="I1459" t="s">
        <v>12</v>
      </c>
      <c r="J1459" t="s">
        <v>258</v>
      </c>
      <c r="K1459">
        <f t="shared" si="22"/>
        <v>134.6</v>
      </c>
    </row>
    <row r="1460" spans="1:11">
      <c r="A1460">
        <v>1459</v>
      </c>
      <c r="B1460" s="1">
        <v>45566</v>
      </c>
      <c r="C1460" t="s">
        <v>10</v>
      </c>
      <c r="D1460" t="s">
        <v>11</v>
      </c>
      <c r="E1460">
        <v>1382.06</v>
      </c>
      <c r="F1460">
        <v>4</v>
      </c>
      <c r="G1460">
        <v>0.11</v>
      </c>
      <c r="H1460">
        <v>0.38</v>
      </c>
      <c r="I1460" t="s">
        <v>12</v>
      </c>
      <c r="J1460" t="s">
        <v>293</v>
      </c>
      <c r="K1460">
        <f t="shared" si="22"/>
        <v>5528.24</v>
      </c>
    </row>
    <row r="1461" spans="1:11">
      <c r="A1461">
        <v>1460</v>
      </c>
      <c r="B1461" s="1">
        <v>45404</v>
      </c>
      <c r="C1461" t="s">
        <v>20</v>
      </c>
      <c r="D1461" t="s">
        <v>15</v>
      </c>
      <c r="E1461">
        <v>1414.31</v>
      </c>
      <c r="F1461">
        <v>4</v>
      </c>
      <c r="G1461">
        <v>0.15</v>
      </c>
      <c r="H1461">
        <v>0.23</v>
      </c>
      <c r="I1461" t="s">
        <v>12</v>
      </c>
      <c r="J1461" t="s">
        <v>43</v>
      </c>
      <c r="K1461">
        <f t="shared" si="22"/>
        <v>5657.24</v>
      </c>
    </row>
    <row r="1462" spans="1:11">
      <c r="A1462">
        <v>1461</v>
      </c>
      <c r="B1462" s="1">
        <v>45625</v>
      </c>
      <c r="C1462" t="s">
        <v>23</v>
      </c>
      <c r="D1462" t="s">
        <v>15</v>
      </c>
      <c r="E1462">
        <v>719.28</v>
      </c>
      <c r="F1462">
        <v>1</v>
      </c>
      <c r="G1462">
        <v>0.09</v>
      </c>
      <c r="H1462">
        <v>0.17</v>
      </c>
      <c r="I1462" t="s">
        <v>16</v>
      </c>
      <c r="J1462" t="s">
        <v>189</v>
      </c>
      <c r="K1462">
        <f t="shared" si="22"/>
        <v>719.28</v>
      </c>
    </row>
    <row r="1463" spans="1:11">
      <c r="A1463">
        <v>1462</v>
      </c>
      <c r="B1463" s="1">
        <v>45339</v>
      </c>
      <c r="C1463" t="s">
        <v>26</v>
      </c>
      <c r="D1463" t="s">
        <v>11</v>
      </c>
      <c r="E1463">
        <v>469.95</v>
      </c>
      <c r="F1463">
        <v>3</v>
      </c>
      <c r="G1463">
        <v>0.26</v>
      </c>
      <c r="H1463">
        <v>0.32</v>
      </c>
      <c r="I1463" t="s">
        <v>24</v>
      </c>
      <c r="J1463" t="s">
        <v>231</v>
      </c>
      <c r="K1463">
        <f t="shared" si="22"/>
        <v>1409.85</v>
      </c>
    </row>
    <row r="1464" spans="1:11">
      <c r="A1464">
        <v>1463</v>
      </c>
      <c r="B1464" s="1">
        <v>45587</v>
      </c>
      <c r="C1464" t="s">
        <v>23</v>
      </c>
      <c r="D1464" t="s">
        <v>15</v>
      </c>
      <c r="E1464">
        <v>1365.87</v>
      </c>
      <c r="F1464">
        <v>4</v>
      </c>
      <c r="G1464">
        <v>0.08</v>
      </c>
      <c r="H1464">
        <v>0.38</v>
      </c>
      <c r="I1464" t="s">
        <v>24</v>
      </c>
      <c r="J1464" t="s">
        <v>29</v>
      </c>
      <c r="K1464">
        <f t="shared" si="22"/>
        <v>5463.48</v>
      </c>
    </row>
    <row r="1465" spans="1:11">
      <c r="A1465">
        <v>1464</v>
      </c>
      <c r="B1465" s="1">
        <v>45476</v>
      </c>
      <c r="C1465" t="s">
        <v>14</v>
      </c>
      <c r="D1465" t="s">
        <v>15</v>
      </c>
      <c r="E1465">
        <v>811.88</v>
      </c>
      <c r="F1465">
        <v>1</v>
      </c>
      <c r="G1465">
        <v>0.28000000000000003</v>
      </c>
      <c r="H1465">
        <v>0.16</v>
      </c>
      <c r="I1465" t="s">
        <v>12</v>
      </c>
      <c r="J1465" t="s">
        <v>85</v>
      </c>
      <c r="K1465">
        <f t="shared" si="22"/>
        <v>811.88</v>
      </c>
    </row>
    <row r="1466" spans="1:11">
      <c r="A1466">
        <v>1465</v>
      </c>
      <c r="B1466" s="1">
        <v>45647</v>
      </c>
      <c r="C1466" t="s">
        <v>14</v>
      </c>
      <c r="D1466" t="s">
        <v>15</v>
      </c>
      <c r="E1466">
        <v>796.85</v>
      </c>
      <c r="F1466">
        <v>2</v>
      </c>
      <c r="G1466">
        <v>0.08</v>
      </c>
      <c r="H1466">
        <v>0.35</v>
      </c>
      <c r="I1466" t="s">
        <v>16</v>
      </c>
      <c r="J1466" t="s">
        <v>166</v>
      </c>
      <c r="K1466">
        <f t="shared" si="22"/>
        <v>1593.7</v>
      </c>
    </row>
    <row r="1467" spans="1:11">
      <c r="A1467">
        <v>1466</v>
      </c>
      <c r="B1467" s="1">
        <v>45540</v>
      </c>
      <c r="C1467" t="s">
        <v>23</v>
      </c>
      <c r="D1467" t="s">
        <v>15</v>
      </c>
      <c r="E1467">
        <v>1406.44</v>
      </c>
      <c r="F1467">
        <v>3</v>
      </c>
      <c r="G1467">
        <v>0.06</v>
      </c>
      <c r="H1467">
        <v>0.13</v>
      </c>
      <c r="I1467" t="s">
        <v>12</v>
      </c>
      <c r="J1467" t="s">
        <v>182</v>
      </c>
      <c r="K1467">
        <f t="shared" si="22"/>
        <v>4219.32</v>
      </c>
    </row>
    <row r="1468" spans="1:11">
      <c r="A1468">
        <v>1467</v>
      </c>
      <c r="B1468" s="1">
        <v>45379</v>
      </c>
      <c r="C1468" t="s">
        <v>23</v>
      </c>
      <c r="D1468" t="s">
        <v>15</v>
      </c>
      <c r="E1468">
        <v>390.52</v>
      </c>
      <c r="F1468">
        <v>1</v>
      </c>
      <c r="G1468">
        <v>0.03</v>
      </c>
      <c r="H1468">
        <v>0.32</v>
      </c>
      <c r="I1468" t="s">
        <v>12</v>
      </c>
      <c r="J1468" t="s">
        <v>227</v>
      </c>
      <c r="K1468">
        <f t="shared" si="22"/>
        <v>390.52</v>
      </c>
    </row>
    <row r="1469" spans="1:11">
      <c r="A1469">
        <v>1468</v>
      </c>
      <c r="B1469" s="1">
        <v>45649</v>
      </c>
      <c r="C1469" t="s">
        <v>23</v>
      </c>
      <c r="D1469" t="s">
        <v>15</v>
      </c>
      <c r="E1469">
        <v>895.5</v>
      </c>
      <c r="F1469">
        <v>2</v>
      </c>
      <c r="G1469">
        <v>0.06</v>
      </c>
      <c r="H1469">
        <v>0.19</v>
      </c>
      <c r="I1469" t="s">
        <v>16</v>
      </c>
      <c r="J1469" t="s">
        <v>177</v>
      </c>
      <c r="K1469">
        <f t="shared" si="22"/>
        <v>1791</v>
      </c>
    </row>
    <row r="1470" spans="1:11">
      <c r="A1470">
        <v>1469</v>
      </c>
      <c r="B1470" s="1">
        <v>45327</v>
      </c>
      <c r="C1470" t="s">
        <v>31</v>
      </c>
      <c r="D1470" t="s">
        <v>11</v>
      </c>
      <c r="E1470">
        <v>624.39</v>
      </c>
      <c r="F1470">
        <v>3</v>
      </c>
      <c r="G1470">
        <v>0.16</v>
      </c>
      <c r="H1470">
        <v>0.35</v>
      </c>
      <c r="I1470" t="s">
        <v>16</v>
      </c>
      <c r="J1470" t="s">
        <v>44</v>
      </c>
      <c r="K1470">
        <f t="shared" si="22"/>
        <v>1873.17</v>
      </c>
    </row>
    <row r="1471" spans="1:11">
      <c r="A1471">
        <v>1470</v>
      </c>
      <c r="B1471" s="1">
        <v>45430</v>
      </c>
      <c r="C1471" t="s">
        <v>20</v>
      </c>
      <c r="D1471" t="s">
        <v>15</v>
      </c>
      <c r="E1471">
        <v>446.62</v>
      </c>
      <c r="F1471">
        <v>3</v>
      </c>
      <c r="G1471">
        <v>0.1</v>
      </c>
      <c r="H1471">
        <v>0.32</v>
      </c>
      <c r="I1471" t="s">
        <v>21</v>
      </c>
      <c r="J1471" t="s">
        <v>29</v>
      </c>
      <c r="K1471">
        <f t="shared" si="22"/>
        <v>1339.8600000000001</v>
      </c>
    </row>
    <row r="1472" spans="1:11">
      <c r="A1472">
        <v>1471</v>
      </c>
      <c r="B1472" s="1">
        <v>45475</v>
      </c>
      <c r="C1472" t="s">
        <v>26</v>
      </c>
      <c r="D1472" t="s">
        <v>11</v>
      </c>
      <c r="E1472">
        <v>1231.24</v>
      </c>
      <c r="F1472">
        <v>1</v>
      </c>
      <c r="G1472">
        <v>0.28000000000000003</v>
      </c>
      <c r="H1472">
        <v>0.38</v>
      </c>
      <c r="I1472" t="s">
        <v>12</v>
      </c>
      <c r="J1472" t="s">
        <v>65</v>
      </c>
      <c r="K1472">
        <f t="shared" si="22"/>
        <v>1231.24</v>
      </c>
    </row>
    <row r="1473" spans="1:11">
      <c r="A1473">
        <v>1472</v>
      </c>
      <c r="B1473" s="1">
        <v>45521</v>
      </c>
      <c r="C1473" t="s">
        <v>23</v>
      </c>
      <c r="D1473" t="s">
        <v>15</v>
      </c>
      <c r="E1473">
        <v>523.54999999999995</v>
      </c>
      <c r="F1473">
        <v>5</v>
      </c>
      <c r="G1473">
        <v>0.03</v>
      </c>
      <c r="H1473">
        <v>0.23</v>
      </c>
      <c r="I1473" t="s">
        <v>21</v>
      </c>
      <c r="J1473" t="s">
        <v>55</v>
      </c>
      <c r="K1473">
        <f t="shared" si="22"/>
        <v>2617.75</v>
      </c>
    </row>
    <row r="1474" spans="1:11">
      <c r="A1474">
        <v>1473</v>
      </c>
      <c r="B1474" s="1">
        <v>45610</v>
      </c>
      <c r="C1474" t="s">
        <v>26</v>
      </c>
      <c r="D1474" t="s">
        <v>11</v>
      </c>
      <c r="E1474">
        <v>359.43</v>
      </c>
      <c r="F1474">
        <v>3</v>
      </c>
      <c r="G1474">
        <v>0.15</v>
      </c>
      <c r="H1474">
        <v>0.37</v>
      </c>
      <c r="I1474" t="s">
        <v>12</v>
      </c>
      <c r="J1474" t="s">
        <v>60</v>
      </c>
      <c r="K1474">
        <f t="shared" si="22"/>
        <v>1078.29</v>
      </c>
    </row>
    <row r="1475" spans="1:11">
      <c r="A1475">
        <v>1474</v>
      </c>
      <c r="B1475" s="1">
        <v>45594</v>
      </c>
      <c r="C1475" t="s">
        <v>10</v>
      </c>
      <c r="D1475" t="s">
        <v>11</v>
      </c>
      <c r="E1475">
        <v>758.86</v>
      </c>
      <c r="F1475">
        <v>5</v>
      </c>
      <c r="G1475">
        <v>0.27</v>
      </c>
      <c r="H1475">
        <v>0.37</v>
      </c>
      <c r="I1475" t="s">
        <v>16</v>
      </c>
      <c r="J1475" t="s">
        <v>121</v>
      </c>
      <c r="K1475">
        <f t="shared" si="22"/>
        <v>3794.3</v>
      </c>
    </row>
    <row r="1476" spans="1:11">
      <c r="A1476">
        <v>1475</v>
      </c>
      <c r="B1476" s="1">
        <v>45396</v>
      </c>
      <c r="C1476" t="s">
        <v>31</v>
      </c>
      <c r="D1476" t="s">
        <v>11</v>
      </c>
      <c r="E1476">
        <v>1341.05</v>
      </c>
      <c r="F1476">
        <v>2</v>
      </c>
      <c r="G1476">
        <v>0.03</v>
      </c>
      <c r="H1476">
        <v>0.36</v>
      </c>
      <c r="I1476" t="s">
        <v>12</v>
      </c>
      <c r="J1476" t="s">
        <v>123</v>
      </c>
      <c r="K1476">
        <f t="shared" ref="K1476:K1501" si="23">E1476*F1476</f>
        <v>2682.1</v>
      </c>
    </row>
    <row r="1477" spans="1:11">
      <c r="A1477">
        <v>1476</v>
      </c>
      <c r="B1477" s="1">
        <v>45385</v>
      </c>
      <c r="C1477" t="s">
        <v>20</v>
      </c>
      <c r="D1477" t="s">
        <v>15</v>
      </c>
      <c r="E1477">
        <v>288.04000000000002</v>
      </c>
      <c r="F1477">
        <v>4</v>
      </c>
      <c r="G1477">
        <v>0.13</v>
      </c>
      <c r="H1477">
        <v>0.18</v>
      </c>
      <c r="I1477" t="s">
        <v>12</v>
      </c>
      <c r="J1477" t="s">
        <v>244</v>
      </c>
      <c r="K1477">
        <f t="shared" si="23"/>
        <v>1152.1600000000001</v>
      </c>
    </row>
    <row r="1478" spans="1:11">
      <c r="A1478">
        <v>1477</v>
      </c>
      <c r="B1478" s="1">
        <v>45504</v>
      </c>
      <c r="C1478" t="s">
        <v>10</v>
      </c>
      <c r="D1478" t="s">
        <v>11</v>
      </c>
      <c r="E1478">
        <v>224.09</v>
      </c>
      <c r="F1478">
        <v>3</v>
      </c>
      <c r="G1478">
        <v>0.17</v>
      </c>
      <c r="H1478">
        <v>0.21</v>
      </c>
      <c r="I1478" t="s">
        <v>21</v>
      </c>
      <c r="J1478" t="s">
        <v>153</v>
      </c>
      <c r="K1478">
        <f t="shared" si="23"/>
        <v>672.27</v>
      </c>
    </row>
    <row r="1479" spans="1:11">
      <c r="A1479">
        <v>1478</v>
      </c>
      <c r="B1479" s="1">
        <v>45569</v>
      </c>
      <c r="C1479" t="s">
        <v>10</v>
      </c>
      <c r="D1479" t="s">
        <v>11</v>
      </c>
      <c r="E1479">
        <v>1126.02</v>
      </c>
      <c r="F1479">
        <v>5</v>
      </c>
      <c r="G1479">
        <v>0.23</v>
      </c>
      <c r="H1479">
        <v>0.2</v>
      </c>
      <c r="I1479" t="s">
        <v>24</v>
      </c>
      <c r="J1479" t="s">
        <v>22</v>
      </c>
      <c r="K1479">
        <f t="shared" si="23"/>
        <v>5630.1</v>
      </c>
    </row>
    <row r="1480" spans="1:11">
      <c r="A1480">
        <v>1479</v>
      </c>
      <c r="B1480" s="1">
        <v>45561</v>
      </c>
      <c r="C1480" t="s">
        <v>31</v>
      </c>
      <c r="D1480" t="s">
        <v>11</v>
      </c>
      <c r="E1480">
        <v>606.96</v>
      </c>
      <c r="F1480">
        <v>1</v>
      </c>
      <c r="G1480">
        <v>0.04</v>
      </c>
      <c r="H1480">
        <v>0.2</v>
      </c>
      <c r="I1480" t="s">
        <v>16</v>
      </c>
      <c r="J1480" t="s">
        <v>76</v>
      </c>
      <c r="K1480">
        <f t="shared" si="23"/>
        <v>606.96</v>
      </c>
    </row>
    <row r="1481" spans="1:11">
      <c r="A1481">
        <v>1480</v>
      </c>
      <c r="B1481" s="1">
        <v>45499</v>
      </c>
      <c r="C1481" t="s">
        <v>20</v>
      </c>
      <c r="D1481" t="s">
        <v>15</v>
      </c>
      <c r="E1481">
        <v>1313.13</v>
      </c>
      <c r="F1481">
        <v>3</v>
      </c>
      <c r="G1481">
        <v>0.02</v>
      </c>
      <c r="H1481">
        <v>0.14000000000000001</v>
      </c>
      <c r="I1481" t="s">
        <v>12</v>
      </c>
      <c r="J1481" t="s">
        <v>102</v>
      </c>
      <c r="K1481">
        <f t="shared" si="23"/>
        <v>3939.3900000000003</v>
      </c>
    </row>
    <row r="1482" spans="1:11">
      <c r="A1482">
        <v>1481</v>
      </c>
      <c r="B1482" s="1">
        <v>45612</v>
      </c>
      <c r="C1482" t="s">
        <v>23</v>
      </c>
      <c r="D1482" t="s">
        <v>15</v>
      </c>
      <c r="E1482">
        <v>959.83</v>
      </c>
      <c r="F1482">
        <v>2</v>
      </c>
      <c r="G1482">
        <v>0.01</v>
      </c>
      <c r="H1482">
        <v>0.18</v>
      </c>
      <c r="I1482" t="s">
        <v>12</v>
      </c>
      <c r="J1482" t="s">
        <v>272</v>
      </c>
      <c r="K1482">
        <f t="shared" si="23"/>
        <v>1919.66</v>
      </c>
    </row>
    <row r="1483" spans="1:11">
      <c r="A1483">
        <v>1482</v>
      </c>
      <c r="B1483" s="1">
        <v>45628</v>
      </c>
      <c r="C1483" t="s">
        <v>26</v>
      </c>
      <c r="D1483" t="s">
        <v>11</v>
      </c>
      <c r="E1483">
        <v>368.95</v>
      </c>
      <c r="F1483">
        <v>3</v>
      </c>
      <c r="G1483">
        <v>0.01</v>
      </c>
      <c r="H1483">
        <v>0.26</v>
      </c>
      <c r="I1483" t="s">
        <v>24</v>
      </c>
      <c r="J1483" t="s">
        <v>191</v>
      </c>
      <c r="K1483">
        <f t="shared" si="23"/>
        <v>1106.8499999999999</v>
      </c>
    </row>
    <row r="1484" spans="1:11">
      <c r="A1484">
        <v>1483</v>
      </c>
      <c r="B1484" s="1">
        <v>45429</v>
      </c>
      <c r="C1484" t="s">
        <v>10</v>
      </c>
      <c r="D1484" t="s">
        <v>11</v>
      </c>
      <c r="E1484">
        <v>48.78</v>
      </c>
      <c r="F1484">
        <v>2</v>
      </c>
      <c r="G1484">
        <v>0.11</v>
      </c>
      <c r="H1484">
        <v>0.26</v>
      </c>
      <c r="I1484" t="s">
        <v>24</v>
      </c>
      <c r="J1484" t="s">
        <v>294</v>
      </c>
      <c r="K1484">
        <f t="shared" si="23"/>
        <v>97.56</v>
      </c>
    </row>
    <row r="1485" spans="1:11">
      <c r="A1485">
        <v>1484</v>
      </c>
      <c r="B1485" s="1">
        <v>45579</v>
      </c>
      <c r="C1485" t="s">
        <v>20</v>
      </c>
      <c r="D1485" t="s">
        <v>15</v>
      </c>
      <c r="E1485">
        <v>1190.44</v>
      </c>
      <c r="F1485">
        <v>4</v>
      </c>
      <c r="G1485">
        <v>0.2</v>
      </c>
      <c r="H1485">
        <v>0.34</v>
      </c>
      <c r="I1485" t="s">
        <v>16</v>
      </c>
      <c r="J1485" t="s">
        <v>13</v>
      </c>
      <c r="K1485">
        <f t="shared" si="23"/>
        <v>4761.76</v>
      </c>
    </row>
    <row r="1486" spans="1:11">
      <c r="A1486">
        <v>1485</v>
      </c>
      <c r="B1486" s="1">
        <v>45413</v>
      </c>
      <c r="C1486" t="s">
        <v>26</v>
      </c>
      <c r="D1486" t="s">
        <v>11</v>
      </c>
      <c r="E1486">
        <v>736.38</v>
      </c>
      <c r="F1486">
        <v>2</v>
      </c>
      <c r="G1486">
        <v>0.2</v>
      </c>
      <c r="H1486">
        <v>0.21</v>
      </c>
      <c r="I1486" t="s">
        <v>12</v>
      </c>
      <c r="J1486" t="s">
        <v>176</v>
      </c>
      <c r="K1486">
        <f t="shared" si="23"/>
        <v>1472.76</v>
      </c>
    </row>
    <row r="1487" spans="1:11">
      <c r="A1487">
        <v>1486</v>
      </c>
      <c r="B1487" s="1">
        <v>45599</v>
      </c>
      <c r="C1487" t="s">
        <v>23</v>
      </c>
      <c r="D1487" t="s">
        <v>15</v>
      </c>
      <c r="E1487">
        <v>589.16</v>
      </c>
      <c r="F1487">
        <v>1</v>
      </c>
      <c r="G1487">
        <v>0.17</v>
      </c>
      <c r="H1487">
        <v>0.32</v>
      </c>
      <c r="I1487" t="s">
        <v>16</v>
      </c>
      <c r="J1487" t="s">
        <v>89</v>
      </c>
      <c r="K1487">
        <f t="shared" si="23"/>
        <v>589.16</v>
      </c>
    </row>
    <row r="1488" spans="1:11">
      <c r="A1488">
        <v>1487</v>
      </c>
      <c r="B1488" s="1">
        <v>45631</v>
      </c>
      <c r="C1488" t="s">
        <v>23</v>
      </c>
      <c r="D1488" t="s">
        <v>15</v>
      </c>
      <c r="E1488">
        <v>360.13</v>
      </c>
      <c r="F1488">
        <v>2</v>
      </c>
      <c r="G1488">
        <v>0.26</v>
      </c>
      <c r="H1488">
        <v>0.34</v>
      </c>
      <c r="I1488" t="s">
        <v>16</v>
      </c>
      <c r="J1488" t="s">
        <v>173</v>
      </c>
      <c r="K1488">
        <f t="shared" si="23"/>
        <v>720.26</v>
      </c>
    </row>
    <row r="1489" spans="1:13">
      <c r="A1489">
        <v>1488</v>
      </c>
      <c r="B1489" s="1">
        <v>45396</v>
      </c>
      <c r="C1489" t="s">
        <v>14</v>
      </c>
      <c r="D1489" t="s">
        <v>15</v>
      </c>
      <c r="E1489">
        <v>829</v>
      </c>
      <c r="F1489">
        <v>4</v>
      </c>
      <c r="G1489">
        <v>7.0000000000000007E-2</v>
      </c>
      <c r="H1489">
        <v>0.2</v>
      </c>
      <c r="I1489" t="s">
        <v>21</v>
      </c>
      <c r="J1489" t="s">
        <v>269</v>
      </c>
      <c r="K1489">
        <f t="shared" si="23"/>
        <v>3316</v>
      </c>
    </row>
    <row r="1490" spans="1:13">
      <c r="A1490">
        <v>1489</v>
      </c>
      <c r="B1490" s="1">
        <v>45492</v>
      </c>
      <c r="C1490" t="s">
        <v>31</v>
      </c>
      <c r="D1490" t="s">
        <v>11</v>
      </c>
      <c r="E1490">
        <v>672.03</v>
      </c>
      <c r="F1490">
        <v>2</v>
      </c>
      <c r="G1490">
        <v>0.25</v>
      </c>
      <c r="H1490">
        <v>0.36</v>
      </c>
      <c r="I1490" t="s">
        <v>21</v>
      </c>
      <c r="J1490" t="s">
        <v>270</v>
      </c>
      <c r="K1490">
        <f t="shared" si="23"/>
        <v>1344.06</v>
      </c>
    </row>
    <row r="1491" spans="1:13">
      <c r="A1491">
        <v>1490</v>
      </c>
      <c r="B1491" s="1">
        <v>45502</v>
      </c>
      <c r="C1491" t="s">
        <v>31</v>
      </c>
      <c r="D1491" t="s">
        <v>11</v>
      </c>
      <c r="E1491">
        <v>252.1</v>
      </c>
      <c r="F1491">
        <v>5</v>
      </c>
      <c r="G1491">
        <v>0.18</v>
      </c>
      <c r="H1491">
        <v>0.37</v>
      </c>
      <c r="I1491" t="s">
        <v>16</v>
      </c>
      <c r="J1491" t="s">
        <v>113</v>
      </c>
      <c r="K1491">
        <f t="shared" si="23"/>
        <v>1260.5</v>
      </c>
    </row>
    <row r="1492" spans="1:13">
      <c r="A1492">
        <v>1491</v>
      </c>
      <c r="B1492" s="1">
        <v>45353</v>
      </c>
      <c r="C1492" t="s">
        <v>10</v>
      </c>
      <c r="D1492" t="s">
        <v>11</v>
      </c>
      <c r="E1492">
        <v>1124.96</v>
      </c>
      <c r="F1492">
        <v>5</v>
      </c>
      <c r="G1492">
        <v>0.18</v>
      </c>
      <c r="H1492">
        <v>0.13</v>
      </c>
      <c r="I1492" t="s">
        <v>24</v>
      </c>
      <c r="J1492" t="s">
        <v>247</v>
      </c>
      <c r="K1492">
        <f t="shared" si="23"/>
        <v>5624.8</v>
      </c>
    </row>
    <row r="1493" spans="1:13">
      <c r="A1493">
        <v>1492</v>
      </c>
      <c r="B1493" s="1">
        <v>45311</v>
      </c>
      <c r="C1493" t="s">
        <v>10</v>
      </c>
      <c r="D1493" t="s">
        <v>11</v>
      </c>
      <c r="E1493">
        <v>50.5</v>
      </c>
      <c r="F1493">
        <v>5</v>
      </c>
      <c r="G1493">
        <v>0.28999999999999998</v>
      </c>
      <c r="H1493">
        <v>0.34</v>
      </c>
      <c r="I1493" t="s">
        <v>12</v>
      </c>
      <c r="J1493" t="s">
        <v>19</v>
      </c>
      <c r="K1493">
        <f t="shared" si="23"/>
        <v>252.5</v>
      </c>
    </row>
    <row r="1494" spans="1:13">
      <c r="A1494">
        <v>1493</v>
      </c>
      <c r="B1494" s="1">
        <v>45423</v>
      </c>
      <c r="C1494" t="s">
        <v>14</v>
      </c>
      <c r="D1494" t="s">
        <v>15</v>
      </c>
      <c r="E1494">
        <v>31.06</v>
      </c>
      <c r="F1494">
        <v>3</v>
      </c>
      <c r="G1494">
        <v>0.28000000000000003</v>
      </c>
      <c r="H1494">
        <v>0.2</v>
      </c>
      <c r="I1494" t="s">
        <v>16</v>
      </c>
      <c r="J1494" t="s">
        <v>53</v>
      </c>
      <c r="K1494">
        <f t="shared" si="23"/>
        <v>93.179999999999993</v>
      </c>
    </row>
    <row r="1495" spans="1:13">
      <c r="A1495">
        <v>1494</v>
      </c>
      <c r="B1495" s="1">
        <v>45635</v>
      </c>
      <c r="C1495" t="s">
        <v>20</v>
      </c>
      <c r="D1495" t="s">
        <v>15</v>
      </c>
      <c r="E1495">
        <v>1005.06</v>
      </c>
      <c r="F1495">
        <v>5</v>
      </c>
      <c r="G1495">
        <v>0.28000000000000003</v>
      </c>
      <c r="H1495">
        <v>0.1</v>
      </c>
      <c r="I1495" t="s">
        <v>16</v>
      </c>
      <c r="J1495" t="s">
        <v>283</v>
      </c>
      <c r="K1495">
        <f t="shared" si="23"/>
        <v>5025.2999999999993</v>
      </c>
      <c r="L1495" s="2" t="s">
        <v>321</v>
      </c>
      <c r="M1495" t="s">
        <v>323</v>
      </c>
    </row>
    <row r="1496" spans="1:13">
      <c r="A1496">
        <v>1495</v>
      </c>
      <c r="B1496" s="1">
        <v>45326</v>
      </c>
      <c r="C1496" t="s">
        <v>23</v>
      </c>
      <c r="D1496" t="s">
        <v>15</v>
      </c>
      <c r="E1496">
        <v>1409.21</v>
      </c>
      <c r="F1496">
        <v>1</v>
      </c>
      <c r="G1496">
        <v>0.23</v>
      </c>
      <c r="H1496">
        <v>0.34</v>
      </c>
      <c r="I1496" t="s">
        <v>12</v>
      </c>
      <c r="J1496" t="s">
        <v>169</v>
      </c>
      <c r="K1496">
        <f t="shared" si="23"/>
        <v>1409.21</v>
      </c>
      <c r="L1496" s="3" t="s">
        <v>24</v>
      </c>
      <c r="M1496" s="4">
        <v>902742.4100000005</v>
      </c>
    </row>
    <row r="1497" spans="1:13">
      <c r="A1497">
        <v>1496</v>
      </c>
      <c r="B1497" s="1">
        <v>45479</v>
      </c>
      <c r="C1497" t="s">
        <v>14</v>
      </c>
      <c r="D1497" t="s">
        <v>15</v>
      </c>
      <c r="E1497">
        <v>1296.22</v>
      </c>
      <c r="F1497">
        <v>5</v>
      </c>
      <c r="G1497">
        <v>0.22</v>
      </c>
      <c r="H1497">
        <v>0.36</v>
      </c>
      <c r="I1497" t="s">
        <v>16</v>
      </c>
      <c r="J1497" t="s">
        <v>194</v>
      </c>
      <c r="K1497">
        <f t="shared" si="23"/>
        <v>6481.1</v>
      </c>
      <c r="L1497" s="3" t="s">
        <v>12</v>
      </c>
      <c r="M1497" s="4">
        <v>914959.45</v>
      </c>
    </row>
    <row r="1498" spans="1:13">
      <c r="A1498">
        <v>1497</v>
      </c>
      <c r="B1498" s="1">
        <v>45611</v>
      </c>
      <c r="C1498" t="s">
        <v>23</v>
      </c>
      <c r="D1498" t="s">
        <v>15</v>
      </c>
      <c r="E1498">
        <v>1127.71</v>
      </c>
      <c r="F1498">
        <v>3</v>
      </c>
      <c r="G1498">
        <v>0.12</v>
      </c>
      <c r="H1498">
        <v>0.19</v>
      </c>
      <c r="I1498" t="s">
        <v>21</v>
      </c>
      <c r="J1498" t="s">
        <v>163</v>
      </c>
      <c r="K1498">
        <f t="shared" si="23"/>
        <v>3383.13</v>
      </c>
      <c r="L1498" s="3" t="s">
        <v>16</v>
      </c>
      <c r="M1498" s="4">
        <v>818089.51000000024</v>
      </c>
    </row>
    <row r="1499" spans="1:13">
      <c r="A1499">
        <v>1498</v>
      </c>
      <c r="B1499" s="1">
        <v>45453</v>
      </c>
      <c r="C1499" t="s">
        <v>31</v>
      </c>
      <c r="D1499" t="s">
        <v>11</v>
      </c>
      <c r="E1499">
        <v>473.85</v>
      </c>
      <c r="F1499">
        <v>4</v>
      </c>
      <c r="G1499">
        <v>0.13</v>
      </c>
      <c r="H1499">
        <v>0.35</v>
      </c>
      <c r="I1499" t="s">
        <v>24</v>
      </c>
      <c r="J1499" t="s">
        <v>216</v>
      </c>
      <c r="K1499">
        <f t="shared" si="23"/>
        <v>1895.4</v>
      </c>
      <c r="L1499" s="3" t="s">
        <v>21</v>
      </c>
      <c r="M1499" s="4">
        <v>891159.12999999989</v>
      </c>
    </row>
    <row r="1500" spans="1:13">
      <c r="A1500">
        <v>1499</v>
      </c>
      <c r="B1500" s="1">
        <v>45479</v>
      </c>
      <c r="C1500" t="s">
        <v>10</v>
      </c>
      <c r="D1500" t="s">
        <v>11</v>
      </c>
      <c r="E1500">
        <v>1498.83</v>
      </c>
      <c r="F1500">
        <v>4</v>
      </c>
      <c r="G1500">
        <v>0.02</v>
      </c>
      <c r="H1500">
        <v>0.28000000000000003</v>
      </c>
      <c r="I1500" t="s">
        <v>16</v>
      </c>
      <c r="J1500" t="s">
        <v>315</v>
      </c>
      <c r="K1500">
        <f t="shared" si="23"/>
        <v>5995.32</v>
      </c>
      <c r="L1500" s="3" t="s">
        <v>322</v>
      </c>
      <c r="M1500" s="4">
        <v>3526950.5000000005</v>
      </c>
    </row>
    <row r="1501" spans="1:13">
      <c r="A1501">
        <v>1500</v>
      </c>
      <c r="B1501" s="1">
        <v>45305</v>
      </c>
      <c r="C1501" t="s">
        <v>10</v>
      </c>
      <c r="D1501" t="s">
        <v>11</v>
      </c>
      <c r="E1501">
        <v>266.99</v>
      </c>
      <c r="F1501">
        <v>2</v>
      </c>
      <c r="G1501">
        <v>0.24</v>
      </c>
      <c r="H1501">
        <v>0.37</v>
      </c>
      <c r="I1501" t="s">
        <v>12</v>
      </c>
      <c r="J1501" t="s">
        <v>141</v>
      </c>
      <c r="K1501">
        <f t="shared" si="23"/>
        <v>533.98</v>
      </c>
    </row>
    <row r="1502" spans="1:13">
      <c r="K1502">
        <f>SUM(K2:K1500)</f>
        <v>3526950.4999999963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sales_data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Jatinder Singh</dc:creator>
  <cp:lastModifiedBy>Jatinder Singh</cp:lastModifiedBy>
  <dcterms:created xsi:type="dcterms:W3CDTF">2026-03-03T09:35:09Z</dcterms:created>
  <dcterms:modified xsi:type="dcterms:W3CDTF">2026-03-06T19:38:53Z</dcterms:modified>
</cp:coreProperties>
</file>